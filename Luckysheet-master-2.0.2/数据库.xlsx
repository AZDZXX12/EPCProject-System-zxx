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D:\桌面\风机资料\"/>
    </mc:Choice>
  </mc:AlternateContent>
  <xr:revisionPtr revIDLastSave="0" documentId="13_ncr:1_{756BFA56-EAC2-4B0F-8FC0-7BD618678E55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离心风机系数" sheetId="1" r:id="rId1"/>
    <sheet name="常用Y系列电机型号参数表" sheetId="2" r:id="rId2"/>
    <sheet name="YJV" sheetId="7" r:id="rId3"/>
    <sheet name="YJV22" sheetId="5" r:id="rId4"/>
    <sheet name="YJV-6KV" sheetId="8" r:id="rId5"/>
    <sheet name="YJV22-6KV" sheetId="6" r:id="rId6"/>
  </sheets>
  <definedNames>
    <definedName name="_xlnm._FilterDatabase" localSheetId="1" hidden="1">常用Y系列电机型号参数表!$A$2:$J$103</definedName>
    <definedName name="ExternalData_1" localSheetId="3" hidden="1">YJV22!#REF!</definedName>
    <definedName name="ExternalData_2" localSheetId="5" hidden="1">'YJV22-6KV'!#REF!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3" i="2" l="1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netpe09</author>
  </authors>
  <commentList>
    <comment ref="J2" authorId="0" shapeId="0" xr:uid="{00000000-0006-0000-0100-000001000000}">
      <text>
        <r>
          <rPr>
            <b/>
            <sz val="9"/>
            <rFont val="Tahoma"/>
            <family val="2"/>
          </rPr>
          <t>netpe09:</t>
        </r>
        <r>
          <rPr>
            <sz val="9"/>
            <rFont val="Tahoma"/>
            <family val="2"/>
          </rPr>
          <t xml:space="preserve">
(</t>
        </r>
        <r>
          <rPr>
            <sz val="9"/>
            <rFont val="MingLiU"/>
            <family val="3"/>
            <charset val="136"/>
          </rPr>
          <t>淘宝店铺</t>
        </r>
        <r>
          <rPr>
            <sz val="9"/>
            <rFont val="Tahoma"/>
            <family val="2"/>
          </rPr>
          <t>:</t>
        </r>
        <r>
          <rPr>
            <sz val="9"/>
            <rFont val="MingLiU"/>
            <family val="3"/>
            <charset val="136"/>
          </rPr>
          <t>爱学习工作室</t>
        </r>
        <r>
          <rPr>
            <sz val="9"/>
            <rFont val="Tahoma"/>
            <family val="2"/>
          </rPr>
          <t>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68ACA8-70F4-4B67-8AF9-A6AB3870EBF6}" keepAlive="1" name="查询 - YJV" description="与工作簿中“YJV”查询的连接。" type="5" refreshedVersion="7" background="1" saveData="1">
    <dbPr connection="Provider=Microsoft.Mashup.OleDb.1;Data Source=$Workbook$;Location=YJV;Extended Properties=&quot;&quot;" command="SELECT * FROM [YJV]"/>
  </connection>
  <connection id="2" xr16:uid="{8D4F1019-4935-48B4-8CD6-955F4175687E}" keepAlive="1" name="查询 - YJV22" description="与工作簿中“YJV22”查询的连接。" type="5" refreshedVersion="0" background="1">
    <dbPr connection="Provider=Microsoft.Mashup.OleDb.1;Data Source=$Workbook$;Location=YJV22;Extended Properties=&quot;&quot;" command="SELECT * FROM [YJV22]"/>
  </connection>
  <connection id="3" xr16:uid="{6504A6B0-5EF1-448B-ABDA-DCA9432F75B8}" keepAlive="1" name="查询 - YJV22-6KV" description="与工作簿中“YJV22-6KV”查询的连接。" type="5" refreshedVersion="0" background="1">
    <dbPr connection="Provider=Microsoft.Mashup.OleDb.1;Data Source=$Workbook$;Location=YJV22-6KV;Extended Properties=&quot;&quot;" command="SELECT * FROM [YJV22-6KV]"/>
  </connection>
  <connection id="4" xr16:uid="{FF5751EC-6EEF-429E-B283-195E69610076}" keepAlive="1" name="查询 - YJV-6KV" description="与工作簿中“YJV-6KV”查询的连接。" type="5" refreshedVersion="0" background="1">
    <dbPr connection="Provider=Microsoft.Mashup.OleDb.1;Data Source=$Workbook$;Location=YJV-6KV;Extended Properties=&quot;&quot;" command="SELECT * FROM [YJV-6KV]"/>
  </connection>
</connections>
</file>

<file path=xl/sharedStrings.xml><?xml version="1.0" encoding="utf-8"?>
<sst xmlns="http://schemas.openxmlformats.org/spreadsheetml/2006/main" count="984" uniqueCount="361">
  <si>
    <t>风机名称</t>
  </si>
  <si>
    <t>流量系数1</t>
  </si>
  <si>
    <t>流量系数2</t>
  </si>
  <si>
    <t>流量系数3</t>
  </si>
  <si>
    <t>流量系数4</t>
  </si>
  <si>
    <t>流量系数5</t>
  </si>
  <si>
    <t>流量系数6</t>
  </si>
  <si>
    <t>流量系数7</t>
  </si>
  <si>
    <t>全压系数1</t>
  </si>
  <si>
    <t>全压系数2</t>
  </si>
  <si>
    <t>全压系数3</t>
  </si>
  <si>
    <t>全压系数4</t>
  </si>
  <si>
    <t>全压系数5</t>
  </si>
  <si>
    <t>全压系数6</t>
  </si>
  <si>
    <t>全压系数7</t>
  </si>
  <si>
    <t>内效率1</t>
  </si>
  <si>
    <t>内效率2</t>
  </si>
  <si>
    <t>内效率3</t>
  </si>
  <si>
    <t>内效率4</t>
  </si>
  <si>
    <t>内效率5</t>
  </si>
  <si>
    <t>内效率6</t>
  </si>
  <si>
    <t>内效率7</t>
  </si>
  <si>
    <t>10-14</t>
  </si>
  <si>
    <t>10-18</t>
  </si>
  <si>
    <t>11-26</t>
  </si>
  <si>
    <t>11-30</t>
  </si>
  <si>
    <t>11-38</t>
  </si>
  <si>
    <t>14-46</t>
  </si>
  <si>
    <t>4-57</t>
  </si>
  <si>
    <t>4-60</t>
  </si>
  <si>
    <t>4-68</t>
  </si>
  <si>
    <t>4-70</t>
  </si>
  <si>
    <t>4-72</t>
  </si>
  <si>
    <t>4-73</t>
  </si>
  <si>
    <t>4-73-13</t>
  </si>
  <si>
    <t>4-73-15</t>
  </si>
  <si>
    <t>4-73-18</t>
  </si>
  <si>
    <t>4-73D</t>
  </si>
  <si>
    <t>4-73F</t>
  </si>
  <si>
    <t>4-76</t>
  </si>
  <si>
    <t>5-29</t>
  </si>
  <si>
    <t>5-36</t>
  </si>
  <si>
    <t>5-44</t>
  </si>
  <si>
    <t>5-47</t>
  </si>
  <si>
    <t>5-47-12</t>
  </si>
  <si>
    <t>5-48</t>
  </si>
  <si>
    <t>5-49</t>
  </si>
  <si>
    <t>5-50</t>
  </si>
  <si>
    <t>5-51</t>
  </si>
  <si>
    <t>5-51F</t>
  </si>
  <si>
    <t>5-52</t>
  </si>
  <si>
    <t>5-53</t>
  </si>
  <si>
    <t>6-20</t>
  </si>
  <si>
    <t>6-23</t>
  </si>
  <si>
    <t>6-29</t>
  </si>
  <si>
    <t>6-30</t>
  </si>
  <si>
    <t>6-31</t>
  </si>
  <si>
    <t>6-40</t>
  </si>
  <si>
    <t>6-46</t>
  </si>
  <si>
    <t>6-48</t>
  </si>
  <si>
    <t>6-51</t>
  </si>
  <si>
    <t>6-51F</t>
  </si>
  <si>
    <t>6-52</t>
  </si>
  <si>
    <t>7-16</t>
  </si>
  <si>
    <t>7-29</t>
  </si>
  <si>
    <t>7-41</t>
  </si>
  <si>
    <t>8-09</t>
  </si>
  <si>
    <t>8-18</t>
  </si>
  <si>
    <t>8-39</t>
  </si>
  <si>
    <t>9-12</t>
  </si>
  <si>
    <t>9-16</t>
  </si>
  <si>
    <t>9-18</t>
  </si>
  <si>
    <t>9-19</t>
  </si>
  <si>
    <t>9-26</t>
  </si>
  <si>
    <t>9-28</t>
  </si>
  <si>
    <t>9-28F</t>
  </si>
  <si>
    <t>9-38</t>
  </si>
  <si>
    <t>9-55</t>
  </si>
  <si>
    <t>BB24</t>
  </si>
  <si>
    <t>BB50</t>
  </si>
  <si>
    <r>
      <rPr>
        <sz val="12"/>
        <rFont val="Times New Roman"/>
        <family val="1"/>
      </rPr>
      <t>G</t>
    </r>
    <r>
      <rPr>
        <sz val="12"/>
        <rFont val="宋体"/>
        <family val="3"/>
        <charset val="134"/>
      </rPr>
      <t>4-68</t>
    </r>
  </si>
  <si>
    <r>
      <rPr>
        <sz val="12"/>
        <rFont val="Times New Roman"/>
        <family val="1"/>
      </rPr>
      <t>M</t>
    </r>
    <r>
      <rPr>
        <sz val="12"/>
        <rFont val="宋体"/>
        <family val="3"/>
        <charset val="134"/>
      </rPr>
      <t>9-26</t>
    </r>
  </si>
  <si>
    <r>
      <rPr>
        <sz val="12"/>
        <rFont val="Times New Roman"/>
        <family val="1"/>
      </rPr>
      <t>T</t>
    </r>
    <r>
      <rPr>
        <sz val="12"/>
        <rFont val="宋体"/>
        <family val="3"/>
        <charset val="134"/>
      </rPr>
      <t>4-72</t>
    </r>
  </si>
  <si>
    <r>
      <rPr>
        <sz val="12"/>
        <rFont val="Times New Roman"/>
        <family val="1"/>
      </rPr>
      <t>X</t>
    </r>
    <r>
      <rPr>
        <sz val="12"/>
        <rFont val="宋体"/>
        <family val="3"/>
        <charset val="134"/>
      </rPr>
      <t>4-73</t>
    </r>
  </si>
  <si>
    <t>常用Y系列电机型号参数表</t>
  </si>
  <si>
    <t>目录!A1</t>
  </si>
  <si>
    <t>序号</t>
  </si>
  <si>
    <t>型号</t>
  </si>
  <si>
    <t>功率    （kw）</t>
  </si>
  <si>
    <t>马力    （hp）</t>
  </si>
  <si>
    <t>额定电流（A）</t>
  </si>
  <si>
    <t>转速（r/min）</t>
  </si>
  <si>
    <t>效率  （%）</t>
  </si>
  <si>
    <t>功率因数（cosφ）</t>
  </si>
  <si>
    <t>重量（kg）</t>
  </si>
  <si>
    <t>输出
扭矩</t>
  </si>
  <si>
    <t>Y80M1-2</t>
  </si>
  <si>
    <t>Y80M2-2</t>
  </si>
  <si>
    <t>Y90S-2</t>
  </si>
  <si>
    <t>Y90L-2</t>
  </si>
  <si>
    <t>Y100L-2</t>
  </si>
  <si>
    <t>Y112M-2</t>
  </si>
  <si>
    <t>Y132S1-2</t>
  </si>
  <si>
    <t>Y132S2-2</t>
  </si>
  <si>
    <t>Y160M1-2</t>
  </si>
  <si>
    <t>Y160M2-2</t>
  </si>
  <si>
    <t>Y160L-2</t>
  </si>
  <si>
    <t>Y180M-2</t>
  </si>
  <si>
    <t>Y200L1-2</t>
  </si>
  <si>
    <t>Y200L2-2</t>
  </si>
  <si>
    <t>Y225M-2</t>
  </si>
  <si>
    <t>Y250M-2</t>
  </si>
  <si>
    <t>Y280S-2</t>
  </si>
  <si>
    <t>Y280M-2</t>
  </si>
  <si>
    <t>Y315S-2</t>
  </si>
  <si>
    <t>Y315M-2</t>
  </si>
  <si>
    <t>Y315L1-2</t>
  </si>
  <si>
    <t>Y315L2-2</t>
  </si>
  <si>
    <t>Y355M1-2</t>
  </si>
  <si>
    <t>Y355M2-2</t>
  </si>
  <si>
    <t>Y355L1-2</t>
  </si>
  <si>
    <t>Y355L2-2</t>
  </si>
  <si>
    <t>Y80M1-4</t>
  </si>
  <si>
    <t>Y80M2-4</t>
  </si>
  <si>
    <t>Y90S-4</t>
  </si>
  <si>
    <t>Y90L-4</t>
  </si>
  <si>
    <t>Y100L1-4</t>
  </si>
  <si>
    <t>Y100L2-4</t>
  </si>
  <si>
    <t>Y112M-4</t>
  </si>
  <si>
    <t>Y132S-4</t>
  </si>
  <si>
    <t>Y132M-4</t>
  </si>
  <si>
    <t>Y160M-4</t>
  </si>
  <si>
    <t>Y160L-4</t>
  </si>
  <si>
    <t>Y180M-4</t>
  </si>
  <si>
    <t>Y180L-4</t>
  </si>
  <si>
    <t>Y200L-4</t>
  </si>
  <si>
    <t>Y225S-4</t>
  </si>
  <si>
    <t>Y225M-4</t>
  </si>
  <si>
    <t>Y250M-4</t>
  </si>
  <si>
    <t>Y280S-4</t>
  </si>
  <si>
    <t>Y280M-4</t>
  </si>
  <si>
    <t xml:space="preserve">Y315S-4 </t>
  </si>
  <si>
    <t>Y315M-4</t>
  </si>
  <si>
    <t>Y315L1-4</t>
  </si>
  <si>
    <t>Y315L2-4</t>
  </si>
  <si>
    <t>Y355M1-4</t>
  </si>
  <si>
    <t>Y355M2-4</t>
  </si>
  <si>
    <t>Y355L1-4</t>
  </si>
  <si>
    <t>Y355L2-4</t>
  </si>
  <si>
    <t>Y90S-6</t>
  </si>
  <si>
    <t>Y90L-6</t>
  </si>
  <si>
    <t>Y100L-6</t>
  </si>
  <si>
    <t>Y112M-6</t>
  </si>
  <si>
    <t>Y132S-6</t>
  </si>
  <si>
    <t>Y132M1-6</t>
  </si>
  <si>
    <t>Y132M2-6</t>
  </si>
  <si>
    <t>Y160M-6</t>
  </si>
  <si>
    <t>Y160L-6</t>
  </si>
  <si>
    <t>Y180L-6</t>
  </si>
  <si>
    <t>Y200L1-6</t>
  </si>
  <si>
    <t>Y200L2-6</t>
  </si>
  <si>
    <t>Y225M-6</t>
  </si>
  <si>
    <t>Y250M-6</t>
  </si>
  <si>
    <t>Y280S-6</t>
  </si>
  <si>
    <t>Y280M-6</t>
  </si>
  <si>
    <t>Y315S-6</t>
  </si>
  <si>
    <t>Y315M-6</t>
  </si>
  <si>
    <t>Y315L1-6</t>
  </si>
  <si>
    <t>Y315L2-6</t>
  </si>
  <si>
    <t>Y355M1-6</t>
  </si>
  <si>
    <t>Y355M2-6</t>
  </si>
  <si>
    <t>Y355M3-6</t>
  </si>
  <si>
    <t>Y355L2-6</t>
  </si>
  <si>
    <t>Y355L1-6</t>
  </si>
  <si>
    <t>Y132S-8</t>
  </si>
  <si>
    <t>Y132M-8</t>
  </si>
  <si>
    <t>Y160M1-8</t>
  </si>
  <si>
    <t>Y160M2-8</t>
  </si>
  <si>
    <t>Y160L-8</t>
  </si>
  <si>
    <t>Y180L-8</t>
  </si>
  <si>
    <t>Y200L-8</t>
  </si>
  <si>
    <t>Y225S-8</t>
  </si>
  <si>
    <t>Y225M-8</t>
  </si>
  <si>
    <t>Y250M-8</t>
  </si>
  <si>
    <t>Y280S-8</t>
  </si>
  <si>
    <t>Y280M-8</t>
  </si>
  <si>
    <t>Y315S-8</t>
  </si>
  <si>
    <t>Y315M-8</t>
  </si>
  <si>
    <t>Y315L1-8</t>
  </si>
  <si>
    <t>Y315L2-8</t>
  </si>
  <si>
    <t>Y355M1-8</t>
  </si>
  <si>
    <t>Y355M2-8</t>
  </si>
  <si>
    <t>Y355L1-8</t>
  </si>
  <si>
    <t>Y355L2-8</t>
  </si>
  <si>
    <t>Y355M1-10</t>
  </si>
  <si>
    <t>Y355M2-10</t>
  </si>
  <si>
    <t>Y355L-10</t>
  </si>
  <si>
    <t>导体标称截面</t>
  </si>
  <si>
    <t>绝缘厚度</t>
  </si>
  <si>
    <t>护套厚度</t>
  </si>
  <si>
    <t>电缆近似外径</t>
  </si>
  <si>
    <t>电缆近似重量</t>
  </si>
  <si>
    <t>20℃导体</t>
  </si>
  <si>
    <t>电缆载流量</t>
  </si>
  <si>
    <t>短路电流</t>
  </si>
  <si>
    <t>直流电阻</t>
  </si>
  <si>
    <t>在空气中</t>
  </si>
  <si>
    <t>直埋土壤中</t>
  </si>
  <si>
    <t>导 体</t>
  </si>
  <si>
    <t>屏蔽层</t>
  </si>
  <si>
    <t>　</t>
  </si>
  <si>
    <t>铜带</t>
  </si>
  <si>
    <t>铜丝</t>
  </si>
  <si>
    <t>mm 2</t>
  </si>
  <si>
    <t>mm</t>
  </si>
  <si>
    <t>kg/km</t>
  </si>
  <si>
    <t>Ω/km</t>
  </si>
  <si>
    <t>A</t>
  </si>
  <si>
    <t>KA</t>
  </si>
  <si>
    <t>1×25</t>
  </si>
  <si>
    <t>1×35</t>
  </si>
  <si>
    <t>1×50</t>
  </si>
  <si>
    <t>1×70</t>
  </si>
  <si>
    <t>1×95</t>
  </si>
  <si>
    <t>1×120</t>
  </si>
  <si>
    <t>1×150</t>
  </si>
  <si>
    <t>1×185</t>
  </si>
  <si>
    <t>1×240</t>
  </si>
  <si>
    <t>1×300</t>
  </si>
  <si>
    <t>1×400</t>
  </si>
  <si>
    <t>3×25</t>
  </si>
  <si>
    <t>-</t>
  </si>
  <si>
    <t>3×35</t>
  </si>
  <si>
    <t>3×50</t>
  </si>
  <si>
    <t>3×70</t>
  </si>
  <si>
    <t>3×95</t>
  </si>
  <si>
    <t>3×120</t>
  </si>
  <si>
    <t>3×150</t>
  </si>
  <si>
    <t>3×185</t>
  </si>
  <si>
    <t>3×240</t>
  </si>
  <si>
    <t>3×300</t>
  </si>
  <si>
    <t>电缆近似重
量</t>
  </si>
  <si>
    <t>导体直流电阻</t>
  </si>
  <si>
    <t>试验电压</t>
  </si>
  <si>
    <t>KV</t>
  </si>
  <si>
    <t>2×4</t>
  </si>
  <si>
    <t>≤ 4.61</t>
  </si>
  <si>
    <t>2×6</t>
  </si>
  <si>
    <t>≤ 3.08</t>
  </si>
  <si>
    <t>2×10</t>
  </si>
  <si>
    <t>≤ 1.83</t>
  </si>
  <si>
    <t>2×16</t>
  </si>
  <si>
    <t>≤ 1.15</t>
  </si>
  <si>
    <t>2×25</t>
  </si>
  <si>
    <t>≤ 0.727</t>
  </si>
  <si>
    <t>2×35</t>
  </si>
  <si>
    <t>≤ 0.524</t>
  </si>
  <si>
    <t>2×50</t>
  </si>
  <si>
    <t>≤ 0.387</t>
  </si>
  <si>
    <t>2×70</t>
  </si>
  <si>
    <t>≤ 0.268</t>
  </si>
  <si>
    <t>2×95</t>
  </si>
  <si>
    <t>≤ 0.193</t>
  </si>
  <si>
    <t>2×120</t>
  </si>
  <si>
    <t>≤ 0.153</t>
  </si>
  <si>
    <t>2×150</t>
  </si>
  <si>
    <t>≤ 0.124</t>
  </si>
  <si>
    <t>3×1.5</t>
  </si>
  <si>
    <t>≤ 12.1</t>
  </si>
  <si>
    <t>3×3.5</t>
  </si>
  <si>
    <t>≤ 7.41</t>
  </si>
  <si>
    <t>3×4</t>
  </si>
  <si>
    <t>3×6</t>
  </si>
  <si>
    <t>3×10</t>
  </si>
  <si>
    <t>3×16</t>
  </si>
  <si>
    <t>≤ 0.0991</t>
  </si>
  <si>
    <t>≤ 0.0754</t>
  </si>
  <si>
    <t>≤ 0.0601</t>
  </si>
  <si>
    <t>5×2.5</t>
  </si>
  <si>
    <t>5×4</t>
  </si>
  <si>
    <t>5×6</t>
  </si>
  <si>
    <t>5×10</t>
  </si>
  <si>
    <t>5×16</t>
  </si>
  <si>
    <t>5×25</t>
  </si>
  <si>
    <t>5×35</t>
  </si>
  <si>
    <t>3×4+1×2.5</t>
  </si>
  <si>
    <t>3×6+1×4</t>
  </si>
  <si>
    <t>3×10+1×6</t>
  </si>
  <si>
    <t>3×16+1×10</t>
  </si>
  <si>
    <t>3×25+1×16</t>
  </si>
  <si>
    <t>3×35+1×16</t>
  </si>
  <si>
    <t>3×50+1×25</t>
  </si>
  <si>
    <t>3×70+1×35</t>
  </si>
  <si>
    <t>3×95+1×50</t>
  </si>
  <si>
    <t>3×120+1×70</t>
  </si>
  <si>
    <t>3×150+1×70</t>
  </si>
  <si>
    <t>3×185+1×95</t>
  </si>
  <si>
    <t>3×240+1×120</t>
  </si>
  <si>
    <t>3×300+1×150</t>
  </si>
  <si>
    <t>相</t>
  </si>
  <si>
    <t>3×50+2×25</t>
  </si>
  <si>
    <t>3×70+2×35</t>
  </si>
  <si>
    <t>3×95+2×50</t>
  </si>
  <si>
    <t>3×120+2×70</t>
  </si>
  <si>
    <t>3×150+2×70</t>
  </si>
  <si>
    <t>3×185+2×95</t>
  </si>
  <si>
    <t>3×240+2×120</t>
  </si>
  <si>
    <t>4×50+1×25</t>
  </si>
  <si>
    <t>4×70+1×35</t>
  </si>
  <si>
    <t>4×95+1×50</t>
  </si>
  <si>
    <t>4×120+1×70</t>
  </si>
  <si>
    <t>4×150+1×70</t>
  </si>
  <si>
    <t>4×185+1×95</t>
  </si>
  <si>
    <t>4×240+1×120</t>
  </si>
  <si>
    <t>1×1.5</t>
  </si>
  <si>
    <t>1×2.5</t>
  </si>
  <si>
    <t>1×4</t>
  </si>
  <si>
    <t>1×6</t>
  </si>
  <si>
    <t>1×10</t>
  </si>
  <si>
    <t>1×16</t>
  </si>
  <si>
    <t>≤ 0.0470</t>
  </si>
  <si>
    <t>2×1.5</t>
  </si>
  <si>
    <t>2×2.5</t>
  </si>
  <si>
    <t>4×1.5</t>
  </si>
  <si>
    <t>4×2.5</t>
  </si>
  <si>
    <t>4×4</t>
  </si>
  <si>
    <t>4×6</t>
  </si>
  <si>
    <t>4×10</t>
  </si>
  <si>
    <t>4×16</t>
  </si>
  <si>
    <t>4×25</t>
  </si>
  <si>
    <t>4×35</t>
  </si>
  <si>
    <t>4×50</t>
  </si>
  <si>
    <t>4×70</t>
  </si>
  <si>
    <t>4×95</t>
  </si>
  <si>
    <t>4×120</t>
  </si>
  <si>
    <t>4×150</t>
  </si>
  <si>
    <t>4×185</t>
  </si>
  <si>
    <t>4×240</t>
  </si>
  <si>
    <t>4×400</t>
  </si>
  <si>
    <t>5×1.5</t>
  </si>
  <si>
    <t>YJV 0.6/1KV 交联聚乙烯绝缘聚氯乙烯护套电力电缆 1芯</t>
    <phoneticPr fontId="12" type="noConversion"/>
  </si>
  <si>
    <t>YJV 0.6/1KV 交联聚乙烯绝缘聚氯乙烯护套电力电缆 2芯</t>
    <phoneticPr fontId="12" type="noConversion"/>
  </si>
  <si>
    <t>YJV 0.6/1KV 交联聚乙烯绝缘聚氯乙烯护套电力电缆 3芯</t>
    <phoneticPr fontId="12" type="noConversion"/>
  </si>
  <si>
    <r>
      <rPr>
        <sz val="10"/>
        <color rgb="FF000000"/>
        <rFont val="黑体"/>
        <family val="3"/>
        <charset val="134"/>
      </rPr>
      <t>≤</t>
    </r>
    <r>
      <rPr>
        <sz val="10"/>
        <color indexed="8"/>
        <rFont val="黑体"/>
        <family val="3"/>
        <charset val="134"/>
      </rPr>
      <t xml:space="preserve"> 0.524</t>
    </r>
    <phoneticPr fontId="12" type="noConversion"/>
  </si>
  <si>
    <t>YJV 0.6/1KV 交联聚乙烯绝缘聚氯乙烯护套电力电缆 4芯</t>
    <phoneticPr fontId="12" type="noConversion"/>
  </si>
  <si>
    <t>YJV 0.6/1KV 交联聚乙烯绝缘聚氯乙烯护套电力电缆 5芯</t>
    <phoneticPr fontId="12" type="noConversion"/>
  </si>
  <si>
    <t>YJV 0.6/1KV 交联聚乙烯绝缘聚氯乙烯护套电力电缆 3+1芯</t>
    <phoneticPr fontId="12" type="noConversion"/>
  </si>
  <si>
    <t>YJV 0.6/1KV 交联聚乙烯绝缘聚氯乙烯护套电力电缆 3+2芯</t>
    <phoneticPr fontId="12" type="noConversion"/>
  </si>
  <si>
    <t>副</t>
  </si>
  <si>
    <t>YJV 0.6/1KV 交联聚乙烯绝缘聚氯乙烯护套电力电缆 4+1芯</t>
    <phoneticPr fontId="12" type="noConversion"/>
  </si>
  <si>
    <t>0.9
1</t>
  </si>
  <si>
    <t>YJV22 0.6/1KV 交联聚乙烯绝缘钢带铠装聚氯乙烯护套电力电缆 2芯</t>
    <phoneticPr fontId="12" type="noConversion"/>
  </si>
  <si>
    <t>YJV22 0.6/1KV 交联聚乙烯绝缘钢带铠装聚氯乙烯护套电力电缆 3芯</t>
    <phoneticPr fontId="12" type="noConversion"/>
  </si>
  <si>
    <t>YJV 0.6/1KV 交联聚乙烯绝缘钢带铠装聚氯乙烯护套电力电缆 5芯</t>
    <phoneticPr fontId="12" type="noConversion"/>
  </si>
  <si>
    <t>YJV22 0.6/1KV 交联聚乙烯绝缘钢带铠装聚氯乙烯护套电力电缆3+1芯</t>
    <phoneticPr fontId="12" type="noConversion"/>
  </si>
  <si>
    <t>YJV22 0.6/1KV 交联聚乙烯绝缘钢带铠装聚氯乙烯护套电力电缆 3+2芯</t>
    <phoneticPr fontId="12" type="noConversion"/>
  </si>
  <si>
    <t>YJV 0.6/1KV 交联聚乙烯绝缘钢带铠装聚氯乙烯护套电力电缆 4+1芯</t>
    <phoneticPr fontId="12" type="noConversion"/>
  </si>
  <si>
    <t>YJV　6/6KV、6/10KV 交联聚乙烯绝缘聚氯乙烯护套电力电缆 1芯</t>
    <phoneticPr fontId="12" type="noConversion"/>
  </si>
  <si>
    <t>YJV　6/6KV、6/10KV 交联聚乙烯绝缘聚氯乙烯护套电力电缆 3芯</t>
    <phoneticPr fontId="12" type="noConversion"/>
  </si>
  <si>
    <t>YJV22　6/6KV、6/10KV 交联聚乙烯绝缘钢带铠装聚氯乙烯护套电力电缆 1芯</t>
    <phoneticPr fontId="12" type="noConversion"/>
  </si>
  <si>
    <t>YJV22　6/6KV、6/10KV 交联聚乙烯绝缘钢带铠装聚氯乙烯护套电力电缆 3芯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</si>
</sst>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0_);[Red]\(0\)"/>
    <numFmt numFmtId="179" formatCode="0.0_);[Red]\(0.0\)"/>
    <numFmt numFmtId="180" formatCode="0.000_);[Red]\(0.000\)"/>
  </numFmts>
  <fonts count="15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8"/>
      <name val="宋体"/>
      <family val="3"/>
      <charset val="134"/>
      <scheme val="minor"/>
    </font>
    <font>
      <b/>
      <sz val="12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2"/>
      <name val="Times New Roman"/>
      <family val="1"/>
    </font>
    <font>
      <u/>
      <sz val="11"/>
      <color rgb="FF0000FF"/>
      <name val="宋体"/>
      <family val="3"/>
      <charset val="134"/>
      <scheme val="minor"/>
    </font>
    <font>
      <b/>
      <sz val="9"/>
      <name val="Tahoma"/>
      <family val="2"/>
    </font>
    <font>
      <sz val="9"/>
      <name val="Tahoma"/>
      <family val="2"/>
    </font>
    <font>
      <sz val="9"/>
      <name val="MingLiU"/>
      <family val="3"/>
      <charset val="136"/>
    </font>
    <font>
      <sz val="9"/>
      <name val="宋体"/>
      <family val="3"/>
      <charset val="134"/>
      <scheme val="minor"/>
    </font>
    <font>
      <sz val="10"/>
      <name val="黑体"/>
      <family val="3"/>
      <charset val="134"/>
    </font>
    <font>
      <sz val="9"/>
      <name val="宋体"/>
      <family val="3"/>
      <charset val="134"/>
    </font>
    <font>
      <sz val="10"/>
      <color indexed="8"/>
      <name val="黑体"/>
      <family val="3"/>
      <charset val="134"/>
    </font>
    <font>
      <sz val="10"/>
      <color rgb="FF000000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27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 applyAlignme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2" borderId="0" xfId="1" applyFont="1" applyFill="1" applyAlignment="1" applyProtection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178" fontId="5" fillId="0" borderId="0" xfId="0" applyNumberFormat="1" applyFont="1" applyAlignment="1">
      <alignment horizontal="center" vertical="center"/>
    </xf>
    <xf numFmtId="178" fontId="1" fillId="0" borderId="0" xfId="0" quotePrefix="1" applyNumberFormat="1" applyFont="1" applyAlignment="1">
      <alignment horizontal="center" vertical="center"/>
    </xf>
    <xf numFmtId="178" fontId="5" fillId="0" borderId="0" xfId="0" quotePrefix="1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NumberFormat="1">
      <alignment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179" fontId="13" fillId="3" borderId="2" xfId="0" applyNumberFormat="1" applyFont="1" applyFill="1" applyBorder="1" applyAlignment="1">
      <alignment horizontal="center" vertical="center" wrapText="1"/>
    </xf>
    <xf numFmtId="180" fontId="13" fillId="3" borderId="2" xfId="0" applyNumberFormat="1" applyFont="1" applyFill="1" applyBorder="1" applyAlignment="1">
      <alignment horizontal="center" vertical="center" wrapText="1"/>
    </xf>
    <xf numFmtId="179" fontId="11" fillId="3" borderId="2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180" fontId="11" fillId="3" borderId="2" xfId="0" applyNumberFormat="1" applyFont="1" applyFill="1" applyBorder="1" applyAlignment="1">
      <alignment horizontal="center" vertical="center" wrapText="1"/>
    </xf>
    <xf numFmtId="179" fontId="13" fillId="3" borderId="2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180" fontId="13" fillId="3" borderId="2" xfId="0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179" fontId="11" fillId="0" borderId="2" xfId="0" applyNumberFormat="1" applyFont="1" applyBorder="1" applyAlignment="1">
      <alignment horizontal="center" vertical="center"/>
    </xf>
    <xf numFmtId="179" fontId="11" fillId="0" borderId="2" xfId="0" applyNumberFormat="1" applyFont="1" applyBorder="1" applyAlignment="1">
      <alignment horizontal="center" vertical="center"/>
    </xf>
    <xf numFmtId="180" fontId="11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179" fontId="13" fillId="0" borderId="2" xfId="0" applyNumberFormat="1" applyFont="1" applyBorder="1" applyAlignment="1">
      <alignment horizontal="center" vertical="center" wrapText="1"/>
    </xf>
    <xf numFmtId="179" fontId="13" fillId="0" borderId="2" xfId="0" applyNumberFormat="1" applyFont="1" applyBorder="1" applyAlignment="1">
      <alignment horizontal="center" vertical="center" wrapText="1"/>
    </xf>
    <xf numFmtId="180" fontId="13" fillId="0" borderId="2" xfId="0" applyNumberFormat="1" applyFont="1" applyBorder="1" applyAlignment="1">
      <alignment horizontal="center" vertical="center" wrapText="1"/>
    </xf>
    <xf numFmtId="180" fontId="13" fillId="0" borderId="2" xfId="0" applyNumberFormat="1" applyFont="1" applyBorder="1" applyAlignment="1" applyProtection="1">
      <alignment horizontal="center" vertical="center" wrapText="1"/>
      <protection locked="0"/>
    </xf>
    <xf numFmtId="179" fontId="11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79" fontId="13" fillId="0" borderId="15" xfId="0" applyNumberFormat="1" applyFont="1" applyBorder="1" applyAlignment="1">
      <alignment horizontal="center" vertical="top" wrapText="1"/>
    </xf>
    <xf numFmtId="0" fontId="13" fillId="0" borderId="16" xfId="0" applyFont="1" applyBorder="1" applyAlignment="1">
      <alignment horizontal="center" vertical="center" wrapText="1"/>
    </xf>
    <xf numFmtId="179" fontId="13" fillId="0" borderId="16" xfId="0" applyNumberFormat="1" applyFont="1" applyBorder="1" applyAlignment="1">
      <alignment horizontal="center" vertical="center" wrapText="1"/>
    </xf>
    <xf numFmtId="179" fontId="13" fillId="0" borderId="16" xfId="0" applyNumberFormat="1" applyFont="1" applyBorder="1" applyAlignment="1">
      <alignment horizontal="center" vertical="center" wrapText="1"/>
    </xf>
    <xf numFmtId="179" fontId="13" fillId="0" borderId="15" xfId="0" applyNumberFormat="1" applyFont="1" applyBorder="1" applyAlignment="1">
      <alignment vertical="top" wrapText="1"/>
    </xf>
    <xf numFmtId="179" fontId="13" fillId="0" borderId="17" xfId="0" applyNumberFormat="1" applyFont="1" applyBorder="1" applyAlignment="1">
      <alignment horizontal="center" vertical="top" wrapText="1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 wrapText="1"/>
    </xf>
    <xf numFmtId="179" fontId="13" fillId="3" borderId="16" xfId="0" applyNumberFormat="1" applyFont="1" applyFill="1" applyBorder="1" applyAlignment="1">
      <alignment horizontal="center" vertical="center" wrapText="1"/>
    </xf>
    <xf numFmtId="180" fontId="13" fillId="3" borderId="16" xfId="0" applyNumberFormat="1" applyFont="1" applyFill="1" applyBorder="1" applyAlignment="1">
      <alignment horizontal="center" vertical="center" wrapText="1"/>
    </xf>
    <xf numFmtId="179" fontId="11" fillId="3" borderId="16" xfId="0" applyNumberFormat="1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180" fontId="11" fillId="3" borderId="16" xfId="0" applyNumberFormat="1" applyFont="1" applyFill="1" applyBorder="1" applyAlignment="1">
      <alignment horizontal="center" vertical="center" wrapText="1"/>
    </xf>
    <xf numFmtId="179" fontId="13" fillId="3" borderId="16" xfId="0" applyNumberFormat="1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180" fontId="13" fillId="3" borderId="16" xfId="0" applyNumberFormat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180" fontId="13" fillId="0" borderId="16" xfId="0" applyNumberFormat="1" applyFont="1" applyBorder="1" applyAlignment="1">
      <alignment horizontal="center" vertical="center" wrapText="1"/>
    </xf>
    <xf numFmtId="179" fontId="11" fillId="0" borderId="16" xfId="0" applyNumberFormat="1" applyFont="1" applyBorder="1" applyAlignment="1">
      <alignment horizontal="center" vertical="center"/>
    </xf>
    <xf numFmtId="179" fontId="11" fillId="0" borderId="16" xfId="0" applyNumberFormat="1" applyFont="1" applyBorder="1" applyAlignment="1">
      <alignment horizontal="center" vertical="center"/>
    </xf>
    <xf numFmtId="180" fontId="11" fillId="0" borderId="16" xfId="0" applyNumberFormat="1" applyFont="1" applyBorder="1" applyAlignment="1">
      <alignment horizontal="center" vertical="center"/>
    </xf>
    <xf numFmtId="179" fontId="13" fillId="0" borderId="21" xfId="0" applyNumberFormat="1" applyFont="1" applyBorder="1" applyAlignment="1">
      <alignment horizontal="center" vertical="top" wrapText="1"/>
    </xf>
    <xf numFmtId="179" fontId="13" fillId="0" borderId="22" xfId="0" applyNumberFormat="1" applyFont="1" applyBorder="1" applyAlignment="1">
      <alignment horizontal="center" vertical="top" wrapText="1"/>
    </xf>
    <xf numFmtId="179" fontId="11" fillId="0" borderId="0" xfId="0" applyNumberFormat="1" applyFont="1" applyAlignment="1">
      <alignment horizontal="center"/>
    </xf>
    <xf numFmtId="180" fontId="11" fillId="0" borderId="0" xfId="0" applyNumberFormat="1" applyFont="1" applyAlignment="1">
      <alignment horizontal="center"/>
    </xf>
    <xf numFmtId="0" fontId="11" fillId="0" borderId="0" xfId="0" applyFont="1" applyAlignment="1"/>
    <xf numFmtId="1" fontId="13" fillId="0" borderId="16" xfId="0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63"/>
  <sheetViews>
    <sheetView workbookViewId="0">
      <selection activeCell="E71" sqref="E71"/>
    </sheetView>
  </sheetViews>
  <sheetFormatPr defaultColWidth="8.88671875" defaultRowHeight="14.4" x14ac:dyDescent="0.25"/>
  <cols>
    <col min="2" max="8" width="14.33203125"/>
    <col min="9" max="15" width="11.77734375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6" x14ac:dyDescent="0.25">
      <c r="A2" s="22" t="s">
        <v>22</v>
      </c>
      <c r="B2" s="20">
        <v>1.5299498999999999E-2</v>
      </c>
      <c r="C2" s="20">
        <v>1.9700565E-2</v>
      </c>
      <c r="D2" s="20">
        <v>2.4261765000000001E-2</v>
      </c>
      <c r="E2" s="20">
        <v>2.8598777999999998E-2</v>
      </c>
      <c r="F2" s="20">
        <v>3.4400871E-2</v>
      </c>
      <c r="G2" s="20">
        <v>3.9999158E-2</v>
      </c>
      <c r="H2" s="20">
        <v>4.5700511999999999E-2</v>
      </c>
      <c r="I2" s="20">
        <v>0.88817800000000002</v>
      </c>
      <c r="J2" s="20">
        <v>0.92716699999999996</v>
      </c>
      <c r="K2" s="20">
        <v>0.935195</v>
      </c>
      <c r="L2" s="20">
        <v>0.947183</v>
      </c>
      <c r="M2" s="20">
        <v>0.951179</v>
      </c>
      <c r="N2" s="20">
        <v>0.935195</v>
      </c>
      <c r="O2" s="20">
        <v>0.91218999999999995</v>
      </c>
      <c r="P2" s="20">
        <v>73.900000000000006</v>
      </c>
      <c r="Q2" s="20">
        <v>78.400000000000006</v>
      </c>
      <c r="R2" s="20">
        <v>81</v>
      </c>
      <c r="S2" s="20">
        <v>82</v>
      </c>
      <c r="T2" s="20">
        <v>80.400000000000006</v>
      </c>
      <c r="U2" s="20">
        <v>77.5</v>
      </c>
      <c r="V2" s="20">
        <v>73.900000000000006</v>
      </c>
    </row>
    <row r="3" spans="1:22" ht="15.6" x14ac:dyDescent="0.25">
      <c r="A3" s="22" t="s">
        <v>23</v>
      </c>
      <c r="B3" s="20">
        <v>3.0999624E-2</v>
      </c>
      <c r="C3" s="20">
        <v>3.6399925999999999E-2</v>
      </c>
      <c r="D3" s="20">
        <v>4.1799647000000002E-2</v>
      </c>
      <c r="E3" s="20">
        <v>4.7199948999999998E-2</v>
      </c>
      <c r="F3" s="20">
        <v>5.2599670000000001E-2</v>
      </c>
      <c r="G3" s="20">
        <v>5.7999971999999997E-2</v>
      </c>
      <c r="H3" s="20">
        <v>6.3399692999999993E-2</v>
      </c>
      <c r="I3" s="20">
        <v>0.97918799999999995</v>
      </c>
      <c r="J3" s="20">
        <v>0.98419230000000002</v>
      </c>
      <c r="K3" s="20">
        <v>0.98818839999999997</v>
      </c>
      <c r="L3" s="20">
        <v>0.98419230000000002</v>
      </c>
      <c r="M3" s="20">
        <v>0.97018789999999999</v>
      </c>
      <c r="N3" s="20">
        <v>0.94617530000000005</v>
      </c>
      <c r="O3" s="20">
        <v>0.91316249999999999</v>
      </c>
      <c r="P3" s="20">
        <v>69.099999999999994</v>
      </c>
      <c r="Q3" s="20">
        <v>71.5</v>
      </c>
      <c r="R3" s="20">
        <v>73.3</v>
      </c>
      <c r="S3" s="20">
        <v>73.8</v>
      </c>
      <c r="T3" s="20">
        <v>73.400000000000006</v>
      </c>
      <c r="U3" s="20">
        <v>71.8</v>
      </c>
      <c r="V3" s="20">
        <v>69.5</v>
      </c>
    </row>
    <row r="4" spans="1:22" ht="15.6" x14ac:dyDescent="0.25">
      <c r="A4" s="22" t="s">
        <v>24</v>
      </c>
      <c r="B4" s="20">
        <v>7.4999999999999997E-2</v>
      </c>
      <c r="C4" s="20">
        <v>8.6999999999999994E-2</v>
      </c>
      <c r="D4" s="20">
        <v>0.1</v>
      </c>
      <c r="E4" s="20">
        <v>0.112</v>
      </c>
      <c r="F4" s="20">
        <v>0.126</v>
      </c>
      <c r="G4" s="20">
        <v>0.14000000000000001</v>
      </c>
      <c r="H4" s="20">
        <v>0.153</v>
      </c>
      <c r="I4" s="20">
        <v>0.97</v>
      </c>
      <c r="J4" s="20">
        <v>1.03</v>
      </c>
      <c r="K4" s="20">
        <v>1.07</v>
      </c>
      <c r="L4" s="20">
        <v>1.08</v>
      </c>
      <c r="M4" s="20">
        <v>1.06</v>
      </c>
      <c r="N4" s="20">
        <v>1.02</v>
      </c>
      <c r="O4" s="20">
        <v>0.95</v>
      </c>
      <c r="P4" s="20">
        <v>57</v>
      </c>
      <c r="Q4" s="20">
        <v>60.5</v>
      </c>
      <c r="R4" s="20">
        <v>63</v>
      </c>
      <c r="S4" s="20">
        <v>64</v>
      </c>
      <c r="T4" s="20">
        <v>63</v>
      </c>
      <c r="U4" s="20">
        <v>60.5</v>
      </c>
      <c r="V4" s="20">
        <v>57</v>
      </c>
    </row>
    <row r="5" spans="1:22" ht="15.6" x14ac:dyDescent="0.25">
      <c r="A5" s="22" t="s">
        <v>25</v>
      </c>
      <c r="B5" s="20">
        <v>0.12</v>
      </c>
      <c r="C5" s="20">
        <v>0.13200000000000001</v>
      </c>
      <c r="D5" s="20">
        <v>0.14299999999999999</v>
      </c>
      <c r="E5" s="20">
        <v>0.155</v>
      </c>
      <c r="F5" s="20">
        <v>0.17599999999999999</v>
      </c>
      <c r="G5" s="20">
        <v>0.19700000000000001</v>
      </c>
      <c r="H5" s="20">
        <v>0.218</v>
      </c>
      <c r="I5" s="20">
        <v>1.02</v>
      </c>
      <c r="J5" s="20">
        <v>1.0900000000000001</v>
      </c>
      <c r="K5" s="20">
        <v>1.1299999999999999</v>
      </c>
      <c r="L5" s="20">
        <v>1.1399999999999999</v>
      </c>
      <c r="M5" s="20">
        <v>1.1299999999999999</v>
      </c>
      <c r="N5" s="20">
        <v>1.0900000000000001</v>
      </c>
      <c r="O5" s="20">
        <v>1.03</v>
      </c>
      <c r="P5" s="20">
        <v>62</v>
      </c>
      <c r="Q5" s="20">
        <v>65</v>
      </c>
      <c r="R5" s="20">
        <v>66.5</v>
      </c>
      <c r="S5" s="20">
        <v>67</v>
      </c>
      <c r="T5" s="20">
        <v>66.3</v>
      </c>
      <c r="U5" s="20">
        <v>64</v>
      </c>
      <c r="V5" s="20">
        <v>61</v>
      </c>
    </row>
    <row r="6" spans="1:22" ht="15.6" x14ac:dyDescent="0.25">
      <c r="A6" s="22" t="s">
        <v>26</v>
      </c>
      <c r="B6" s="20">
        <v>0.17699999999999999</v>
      </c>
      <c r="C6" s="20">
        <v>0.2</v>
      </c>
      <c r="D6" s="20">
        <v>0.22700000000000001</v>
      </c>
      <c r="E6" s="20">
        <v>0.255</v>
      </c>
      <c r="F6" s="20">
        <v>0.28299999999999997</v>
      </c>
      <c r="G6" s="20">
        <v>0.313</v>
      </c>
      <c r="H6" s="20">
        <v>0.33700000000000002</v>
      </c>
      <c r="I6" s="20">
        <v>1.02</v>
      </c>
      <c r="J6" s="20">
        <v>1.08</v>
      </c>
      <c r="K6" s="20">
        <v>1.1200000000000001</v>
      </c>
      <c r="L6" s="20">
        <v>1.1299999999999999</v>
      </c>
      <c r="M6" s="20">
        <v>1.1200000000000001</v>
      </c>
      <c r="N6" s="20">
        <v>1.07</v>
      </c>
      <c r="O6" s="20">
        <v>1.01</v>
      </c>
      <c r="P6" s="20">
        <v>59.5</v>
      </c>
      <c r="Q6" s="20">
        <v>62.4</v>
      </c>
      <c r="R6" s="20">
        <v>64.2</v>
      </c>
      <c r="S6" s="20">
        <v>65.2</v>
      </c>
      <c r="T6" s="20">
        <v>64.2</v>
      </c>
      <c r="U6" s="20">
        <v>62</v>
      </c>
      <c r="V6" s="20">
        <v>59</v>
      </c>
    </row>
    <row r="7" spans="1:22" ht="15.6" x14ac:dyDescent="0.25">
      <c r="A7" s="22" t="s">
        <v>27</v>
      </c>
      <c r="B7" s="20">
        <v>0.35</v>
      </c>
      <c r="C7" s="20">
        <v>0.42</v>
      </c>
      <c r="D7" s="20">
        <v>0.48</v>
      </c>
      <c r="E7" s="20">
        <v>0.55000000000000004</v>
      </c>
      <c r="F7" s="20">
        <v>0.64</v>
      </c>
      <c r="G7" s="20">
        <v>0.72</v>
      </c>
      <c r="H7" s="20">
        <v>0.81</v>
      </c>
      <c r="I7" s="20">
        <v>1.29</v>
      </c>
      <c r="J7" s="20">
        <v>1.36</v>
      </c>
      <c r="K7" s="20">
        <v>1.41</v>
      </c>
      <c r="L7" s="20">
        <v>1.45</v>
      </c>
      <c r="M7" s="20">
        <v>1.4850000000000001</v>
      </c>
      <c r="N7" s="20">
        <v>1.49</v>
      </c>
      <c r="O7" s="20">
        <v>1.4650000000000001</v>
      </c>
      <c r="P7" s="20">
        <v>67</v>
      </c>
      <c r="Q7" s="20">
        <v>70</v>
      </c>
      <c r="R7" s="20">
        <v>71.400000000000006</v>
      </c>
      <c r="S7" s="20">
        <v>72</v>
      </c>
      <c r="T7" s="20">
        <v>71</v>
      </c>
      <c r="U7" s="20">
        <v>69.2</v>
      </c>
      <c r="V7" s="20">
        <v>66</v>
      </c>
    </row>
    <row r="8" spans="1:22" ht="15.6" x14ac:dyDescent="0.25">
      <c r="A8" s="22" t="s">
        <v>28</v>
      </c>
      <c r="B8" s="20">
        <v>0.103713878</v>
      </c>
      <c r="C8" s="20">
        <v>0.1145989</v>
      </c>
      <c r="D8" s="20">
        <v>0.12552238900000001</v>
      </c>
      <c r="E8" s="20">
        <v>0.13640684</v>
      </c>
      <c r="F8" s="20">
        <v>0.14733031799999999</v>
      </c>
      <c r="G8" s="20">
        <v>0.158215357</v>
      </c>
      <c r="H8" s="20">
        <v>0.16913882899999999</v>
      </c>
      <c r="I8" s="20">
        <v>0.5118606</v>
      </c>
      <c r="J8" s="20">
        <v>0.50070029999999999</v>
      </c>
      <c r="K8" s="20">
        <v>0.48953999999999998</v>
      </c>
      <c r="L8" s="20">
        <v>0.47960380000000002</v>
      </c>
      <c r="M8" s="20">
        <v>0.45415119999999998</v>
      </c>
      <c r="N8" s="20">
        <v>0.42437849999999999</v>
      </c>
      <c r="O8" s="20">
        <v>0.38963759999999997</v>
      </c>
      <c r="P8" s="20">
        <v>77.2</v>
      </c>
      <c r="Q8" s="20">
        <v>79.5</v>
      </c>
      <c r="R8" s="20">
        <v>81</v>
      </c>
      <c r="S8" s="20">
        <v>82.5</v>
      </c>
      <c r="T8" s="20">
        <v>83</v>
      </c>
      <c r="U8" s="20">
        <v>82.5</v>
      </c>
      <c r="V8" s="20">
        <v>81</v>
      </c>
    </row>
    <row r="9" spans="1:22" ht="15.6" x14ac:dyDescent="0.25">
      <c r="A9" s="22" t="s">
        <v>29</v>
      </c>
      <c r="B9" s="20">
        <v>8.2149934999999993E-2</v>
      </c>
      <c r="C9" s="20">
        <v>9.8599487E-2</v>
      </c>
      <c r="D9" s="20">
        <v>0.114999543</v>
      </c>
      <c r="E9" s="20">
        <v>0.12554975700000001</v>
      </c>
      <c r="F9" s="20">
        <v>0.13144967799999999</v>
      </c>
      <c r="G9" s="20">
        <v>0.14784973500000001</v>
      </c>
      <c r="H9" s="20">
        <v>0.16429986899999999</v>
      </c>
      <c r="I9" s="20">
        <v>0.54152540000000005</v>
      </c>
      <c r="J9" s="20">
        <v>0.52788100000000004</v>
      </c>
      <c r="K9" s="20">
        <v>0.50473239999999997</v>
      </c>
      <c r="L9" s="20">
        <v>0.48665999999999998</v>
      </c>
      <c r="M9" s="20">
        <v>0.46930759999999999</v>
      </c>
      <c r="N9" s="20">
        <v>0.42844260000000001</v>
      </c>
      <c r="O9" s="20">
        <v>0.36731710000000001</v>
      </c>
      <c r="P9" s="20">
        <v>78</v>
      </c>
      <c r="Q9" s="20">
        <v>81.8</v>
      </c>
      <c r="R9" s="20">
        <v>82.6</v>
      </c>
      <c r="S9" s="20">
        <v>83</v>
      </c>
      <c r="T9" s="20">
        <v>82.7</v>
      </c>
      <c r="U9" s="20">
        <v>82</v>
      </c>
      <c r="V9" s="20">
        <v>76.5</v>
      </c>
    </row>
    <row r="10" spans="1:22" ht="15.6" x14ac:dyDescent="0.25">
      <c r="A10" s="22" t="s">
        <v>30</v>
      </c>
      <c r="B10" s="20">
        <v>0.16500000000000001</v>
      </c>
      <c r="C10" s="20">
        <v>0.184999671</v>
      </c>
      <c r="D10" s="20">
        <v>0.20499954100000001</v>
      </c>
      <c r="E10" s="20">
        <v>0.22500000000000001</v>
      </c>
      <c r="F10" s="20">
        <v>0.245</v>
      </c>
      <c r="G10" s="20">
        <v>0.26500000000000001</v>
      </c>
      <c r="H10" s="20">
        <v>0.28499960299999999</v>
      </c>
      <c r="I10" s="20">
        <v>0.49807230000000002</v>
      </c>
      <c r="J10" s="20">
        <v>0.48709200000000002</v>
      </c>
      <c r="K10" s="20">
        <v>0.47207959999999999</v>
      </c>
      <c r="L10" s="20">
        <v>0.45008310000000001</v>
      </c>
      <c r="M10" s="20">
        <v>0.42207440000000002</v>
      </c>
      <c r="N10" s="20">
        <v>0.3880536</v>
      </c>
      <c r="O10" s="20">
        <v>0.35007260000000001</v>
      </c>
      <c r="P10" s="20">
        <v>87.6</v>
      </c>
      <c r="Q10" s="20">
        <v>90.3</v>
      </c>
      <c r="R10" s="20">
        <v>92.2</v>
      </c>
      <c r="S10" s="20">
        <v>93</v>
      </c>
      <c r="T10" s="20">
        <v>92</v>
      </c>
      <c r="U10" s="20">
        <v>88.5</v>
      </c>
      <c r="V10" s="20">
        <v>84.7</v>
      </c>
    </row>
    <row r="11" spans="1:22" ht="15.6" x14ac:dyDescent="0.25">
      <c r="A11" s="19" t="s">
        <v>31</v>
      </c>
      <c r="B11" s="20">
        <v>0.15</v>
      </c>
      <c r="C11" s="20">
        <v>0.17599999999999999</v>
      </c>
      <c r="D11" s="20">
        <v>0.20300000000000001</v>
      </c>
      <c r="E11" s="20">
        <v>0.23</v>
      </c>
      <c r="F11" s="20">
        <v>0.252</v>
      </c>
      <c r="G11" s="20">
        <v>0.27300000000000002</v>
      </c>
      <c r="H11" s="20">
        <v>0.29499999999999998</v>
      </c>
      <c r="I11" s="20">
        <v>0.47499999999999998</v>
      </c>
      <c r="J11" s="20">
        <v>0.48599999999999999</v>
      </c>
      <c r="K11" s="20">
        <v>0.47</v>
      </c>
      <c r="L11" s="20">
        <v>0.44500000000000001</v>
      </c>
      <c r="M11" s="20">
        <v>0.41499999999999998</v>
      </c>
      <c r="N11" s="20">
        <v>0.38</v>
      </c>
      <c r="O11" s="20">
        <v>0.34</v>
      </c>
      <c r="P11" s="20">
        <v>73</v>
      </c>
      <c r="Q11" s="20">
        <v>77</v>
      </c>
      <c r="R11" s="20">
        <v>80</v>
      </c>
      <c r="S11" s="20">
        <v>81</v>
      </c>
      <c r="T11" s="20">
        <v>80</v>
      </c>
      <c r="U11" s="20">
        <v>77</v>
      </c>
      <c r="V11" s="20">
        <v>73</v>
      </c>
    </row>
    <row r="12" spans="1:22" ht="15.6" x14ac:dyDescent="0.25">
      <c r="A12" s="22" t="s">
        <v>32</v>
      </c>
      <c r="B12" s="20">
        <v>0.18840000000000001</v>
      </c>
      <c r="C12" s="20">
        <v>0.205099697</v>
      </c>
      <c r="D12" s="20">
        <v>0.22179964099999999</v>
      </c>
      <c r="E12" s="20">
        <v>0.2361</v>
      </c>
      <c r="F12" s="20">
        <v>0.24999953899999999</v>
      </c>
      <c r="G12" s="20">
        <v>0.26369944400000001</v>
      </c>
      <c r="H12" s="20">
        <v>0.28000000000000003</v>
      </c>
      <c r="I12" s="20">
        <v>0.46327499999999999</v>
      </c>
      <c r="J12" s="20">
        <v>0.45708300000000002</v>
      </c>
      <c r="K12" s="20">
        <v>0.43864999999999998</v>
      </c>
      <c r="L12" s="20">
        <v>0.41719200000000001</v>
      </c>
      <c r="M12" s="20">
        <v>0.39371899999999999</v>
      </c>
      <c r="N12" s="20">
        <v>0.36621300000000001</v>
      </c>
      <c r="O12" s="20">
        <v>0.33870800000000001</v>
      </c>
      <c r="P12" s="20">
        <v>86.7</v>
      </c>
      <c r="Q12" s="20">
        <v>88.7</v>
      </c>
      <c r="R12" s="20">
        <v>89</v>
      </c>
      <c r="S12" s="20">
        <v>88.2</v>
      </c>
      <c r="T12" s="20">
        <v>86.6</v>
      </c>
      <c r="U12" s="20">
        <v>84.2</v>
      </c>
      <c r="V12" s="20">
        <v>82.2</v>
      </c>
    </row>
    <row r="13" spans="1:22" ht="15.6" x14ac:dyDescent="0.25">
      <c r="A13" s="22" t="s">
        <v>33</v>
      </c>
      <c r="B13" s="20">
        <v>0.14699999999999999</v>
      </c>
      <c r="C13" s="20">
        <v>0.16600000000000001</v>
      </c>
      <c r="D13" s="20">
        <v>0.186</v>
      </c>
      <c r="E13" s="20">
        <v>0.20499999999999999</v>
      </c>
      <c r="F13" s="20">
        <v>0.224</v>
      </c>
      <c r="G13" s="20">
        <v>0.24765999999999999</v>
      </c>
      <c r="H13" s="20">
        <v>0.26300000000000001</v>
      </c>
      <c r="I13" s="20">
        <v>0.47753200000000001</v>
      </c>
      <c r="J13" s="20">
        <v>0.47551599999999999</v>
      </c>
      <c r="K13" s="20">
        <v>0.470331</v>
      </c>
      <c r="L13" s="20">
        <v>0.45809100000000003</v>
      </c>
      <c r="M13" s="20">
        <v>0.43659999999999999</v>
      </c>
      <c r="N13" s="20">
        <v>0.406968</v>
      </c>
      <c r="O13" s="20">
        <v>0.365205</v>
      </c>
      <c r="P13" s="20">
        <v>79.400000000000006</v>
      </c>
      <c r="Q13" s="20">
        <v>83.2</v>
      </c>
      <c r="R13" s="20">
        <v>85.7</v>
      </c>
      <c r="S13" s="20">
        <v>87</v>
      </c>
      <c r="T13" s="20">
        <v>86.8</v>
      </c>
      <c r="U13" s="20">
        <v>85.6</v>
      </c>
      <c r="V13" s="20">
        <v>82.8</v>
      </c>
    </row>
    <row r="14" spans="1:22" ht="15.6" x14ac:dyDescent="0.25">
      <c r="A14" s="22" t="s">
        <v>34</v>
      </c>
      <c r="B14" s="20">
        <v>0.13452</v>
      </c>
      <c r="C14" s="20">
        <v>0.15165300000000001</v>
      </c>
      <c r="D14" s="20">
        <v>0.176147</v>
      </c>
      <c r="E14" s="20">
        <v>0.19349</v>
      </c>
      <c r="F14" s="20">
        <v>0.20999599999999999</v>
      </c>
      <c r="G14" s="20">
        <v>0.22792000000000001</v>
      </c>
      <c r="H14" s="20">
        <v>0.244869</v>
      </c>
      <c r="I14" s="20">
        <v>0.47767599999999999</v>
      </c>
      <c r="J14" s="20">
        <v>0.47076299999999999</v>
      </c>
      <c r="K14" s="20">
        <v>0.45045800000000003</v>
      </c>
      <c r="L14" s="20">
        <v>0.433753</v>
      </c>
      <c r="M14" s="20">
        <v>0.414024</v>
      </c>
      <c r="N14" s="20">
        <v>0.38061400000000001</v>
      </c>
      <c r="O14" s="20">
        <v>0.34936400000000001</v>
      </c>
      <c r="P14" s="20">
        <v>68.849999999999994</v>
      </c>
      <c r="Q14" s="20">
        <v>70.709999999999994</v>
      </c>
      <c r="R14" s="20">
        <v>74.22</v>
      </c>
      <c r="S14" s="20">
        <v>76.260000000000005</v>
      </c>
      <c r="T14" s="20">
        <v>77.78</v>
      </c>
      <c r="U14" s="20">
        <v>77.78</v>
      </c>
      <c r="V14" s="20">
        <v>76.83</v>
      </c>
    </row>
    <row r="15" spans="1:22" ht="15.6" x14ac:dyDescent="0.25">
      <c r="A15" s="22" t="s">
        <v>35</v>
      </c>
      <c r="B15" s="20">
        <v>0.12945499999999999</v>
      </c>
      <c r="C15" s="20">
        <v>0.15215600000000001</v>
      </c>
      <c r="D15" s="20">
        <v>0.17163800000000001</v>
      </c>
      <c r="E15" s="20">
        <v>0.192247</v>
      </c>
      <c r="F15" s="20">
        <v>0.21398800000000001</v>
      </c>
      <c r="G15" s="20">
        <v>0.23306499999999999</v>
      </c>
      <c r="H15" s="20">
        <v>0.26286999999999999</v>
      </c>
      <c r="I15" s="20">
        <v>0.51842999999999995</v>
      </c>
      <c r="J15" s="20">
        <v>0.50129299999999999</v>
      </c>
      <c r="K15" s="20">
        <v>0.49049300000000001</v>
      </c>
      <c r="L15" s="20">
        <v>0.47061900000000001</v>
      </c>
      <c r="M15" s="20">
        <v>0.43360900000000002</v>
      </c>
      <c r="N15" s="20">
        <v>0.39544699999999999</v>
      </c>
      <c r="O15" s="20">
        <v>0.33193899999999998</v>
      </c>
      <c r="P15" s="20">
        <v>67.3</v>
      </c>
      <c r="Q15" s="20">
        <v>70.72</v>
      </c>
      <c r="R15" s="20">
        <v>74.44</v>
      </c>
      <c r="S15" s="20">
        <v>77.349999999999994</v>
      </c>
      <c r="T15" s="20">
        <v>77.89</v>
      </c>
      <c r="U15" s="20">
        <v>76.97</v>
      </c>
      <c r="V15" s="20">
        <v>71.67</v>
      </c>
    </row>
    <row r="16" spans="1:22" ht="15.6" x14ac:dyDescent="0.25">
      <c r="A16" s="22" t="s">
        <v>36</v>
      </c>
      <c r="B16" s="20">
        <v>0.157364</v>
      </c>
      <c r="C16" s="20">
        <v>0.16938300000000001</v>
      </c>
      <c r="D16" s="20">
        <v>0.180563</v>
      </c>
      <c r="E16" s="20">
        <v>0.19481799999999999</v>
      </c>
      <c r="F16" s="20">
        <v>0.207117</v>
      </c>
      <c r="G16" s="20">
        <v>0.23227300000000001</v>
      </c>
      <c r="H16" s="20">
        <v>0.25072</v>
      </c>
      <c r="I16" s="20">
        <v>0.46370699999999998</v>
      </c>
      <c r="J16" s="20">
        <v>0.46255499999999999</v>
      </c>
      <c r="K16" s="20">
        <v>0.44657000000000002</v>
      </c>
      <c r="L16" s="20">
        <v>0.432313</v>
      </c>
      <c r="M16" s="20">
        <v>0.41171999999999997</v>
      </c>
      <c r="N16" s="20">
        <v>0.367365</v>
      </c>
      <c r="O16" s="20">
        <v>0.33669199999999999</v>
      </c>
      <c r="P16" s="20">
        <v>78</v>
      </c>
      <c r="Q16" s="20">
        <v>80.400000000000006</v>
      </c>
      <c r="R16" s="20">
        <v>81.2</v>
      </c>
      <c r="S16" s="20">
        <v>83</v>
      </c>
      <c r="T16" s="20">
        <v>83</v>
      </c>
      <c r="U16" s="20">
        <v>82.8</v>
      </c>
      <c r="V16" s="20">
        <v>83.2</v>
      </c>
    </row>
    <row r="17" spans="1:22" ht="15.6" x14ac:dyDescent="0.25">
      <c r="A17" s="22" t="s">
        <v>37</v>
      </c>
      <c r="B17" s="20">
        <v>0.15373000000000001</v>
      </c>
      <c r="C17" s="20">
        <v>0.17236399999999999</v>
      </c>
      <c r="D17" s="20">
        <v>0.191464</v>
      </c>
      <c r="E17" s="20">
        <v>0.210564</v>
      </c>
      <c r="F17" s="20">
        <v>0.22966400000000001</v>
      </c>
      <c r="G17" s="20">
        <v>0.24829799999999999</v>
      </c>
      <c r="H17" s="20">
        <v>0.26739800000000002</v>
      </c>
      <c r="I17" s="20">
        <v>0.46802700000000003</v>
      </c>
      <c r="J17" s="20">
        <v>0.46802700000000003</v>
      </c>
      <c r="K17" s="20">
        <v>0.46327499999999999</v>
      </c>
      <c r="L17" s="20">
        <v>0.452042</v>
      </c>
      <c r="M17" s="20">
        <v>0.43461699999999998</v>
      </c>
      <c r="N17" s="20">
        <v>0.40639199999999998</v>
      </c>
      <c r="O17" s="20">
        <v>0.37039</v>
      </c>
      <c r="P17" s="20">
        <v>79.400000000000006</v>
      </c>
      <c r="Q17" s="20">
        <v>83.2</v>
      </c>
      <c r="R17" s="20">
        <v>85.7</v>
      </c>
      <c r="S17" s="20">
        <v>87</v>
      </c>
      <c r="T17" s="20">
        <v>86.8</v>
      </c>
      <c r="U17" s="20">
        <v>85.6</v>
      </c>
      <c r="V17" s="20">
        <v>82.8</v>
      </c>
    </row>
    <row r="18" spans="1:22" ht="15.6" x14ac:dyDescent="0.25">
      <c r="A18" s="22" t="s">
        <v>38</v>
      </c>
      <c r="B18" s="20">
        <v>0.13975499999999999</v>
      </c>
      <c r="C18" s="20">
        <v>0.169569</v>
      </c>
      <c r="D18" s="20">
        <v>0.19938400000000001</v>
      </c>
      <c r="E18" s="20">
        <v>0.22966400000000001</v>
      </c>
      <c r="F18" s="20">
        <v>0.25947799999999999</v>
      </c>
      <c r="G18" s="20">
        <v>0.27900000000000003</v>
      </c>
      <c r="H18" s="20">
        <v>0.29899999999999999</v>
      </c>
      <c r="I18" s="20">
        <v>0.46053899999999998</v>
      </c>
      <c r="J18" s="20">
        <v>0.443546</v>
      </c>
      <c r="K18" s="20">
        <v>0.41532000000000002</v>
      </c>
      <c r="L18" s="20">
        <v>0.365205</v>
      </c>
      <c r="M18" s="20">
        <v>0.30486600000000003</v>
      </c>
      <c r="N18" s="20">
        <v>0.27500000000000002</v>
      </c>
      <c r="O18" s="20">
        <v>0.245</v>
      </c>
      <c r="P18" s="20">
        <v>78</v>
      </c>
      <c r="Q18" s="20">
        <v>83</v>
      </c>
      <c r="R18" s="20">
        <v>85.5</v>
      </c>
      <c r="S18" s="20">
        <v>83</v>
      </c>
      <c r="T18" s="20">
        <v>77</v>
      </c>
      <c r="U18" s="20">
        <v>72</v>
      </c>
      <c r="V18" s="20">
        <v>70</v>
      </c>
    </row>
    <row r="19" spans="1:22" ht="15.6" x14ac:dyDescent="0.25">
      <c r="A19" s="19" t="s">
        <v>39</v>
      </c>
      <c r="B19" s="20">
        <v>0.14699999999999999</v>
      </c>
      <c r="C19" s="20">
        <v>0.17499999999999999</v>
      </c>
      <c r="D19" s="20">
        <v>0.20499999999999999</v>
      </c>
      <c r="E19" s="20">
        <v>0.23200000000000001</v>
      </c>
      <c r="F19" s="20">
        <v>0.254</v>
      </c>
      <c r="G19" s="20">
        <v>0.27400000000000002</v>
      </c>
      <c r="H19" s="20">
        <v>0.29499999999999998</v>
      </c>
      <c r="I19" s="20">
        <v>0.46</v>
      </c>
      <c r="J19" s="20">
        <v>0.45500000000000002</v>
      </c>
      <c r="K19" s="20">
        <v>0.44</v>
      </c>
      <c r="L19" s="20">
        <v>0.41699999999999998</v>
      </c>
      <c r="M19" s="20">
        <v>0.39</v>
      </c>
      <c r="N19" s="20">
        <v>0.36</v>
      </c>
      <c r="O19" s="20">
        <v>0.32</v>
      </c>
      <c r="P19" s="20">
        <v>75</v>
      </c>
      <c r="Q19" s="20">
        <v>79</v>
      </c>
      <c r="R19" s="20">
        <v>82.5</v>
      </c>
      <c r="S19" s="20">
        <v>84</v>
      </c>
      <c r="T19" s="20">
        <v>83</v>
      </c>
      <c r="U19" s="20">
        <v>80</v>
      </c>
      <c r="V19" s="20">
        <v>76</v>
      </c>
    </row>
    <row r="20" spans="1:22" ht="15.6" x14ac:dyDescent="0.25">
      <c r="A20" s="22" t="s">
        <v>40</v>
      </c>
      <c r="B20" s="20">
        <v>3.4999000000000002E-2</v>
      </c>
      <c r="C20" s="20">
        <v>3.9997999999999999E-2</v>
      </c>
      <c r="D20" s="20">
        <v>4.4996000000000001E-2</v>
      </c>
      <c r="E20" s="20">
        <v>0.05</v>
      </c>
      <c r="F20" s="20">
        <v>5.4997999999999998E-2</v>
      </c>
      <c r="G20" s="20">
        <v>6.2497999999999998E-2</v>
      </c>
      <c r="H20" s="20">
        <v>6.9999000000000006E-2</v>
      </c>
      <c r="I20" s="20">
        <v>0.60296300000000003</v>
      </c>
      <c r="J20" s="20">
        <v>0.59129900000000002</v>
      </c>
      <c r="K20" s="20">
        <v>0.574882</v>
      </c>
      <c r="L20" s="20">
        <v>0.55414399999999997</v>
      </c>
      <c r="M20" s="20">
        <v>0.52865499999999999</v>
      </c>
      <c r="N20" s="20">
        <v>0.48559600000000003</v>
      </c>
      <c r="O20" s="20">
        <v>0.439946</v>
      </c>
      <c r="P20" s="20">
        <v>79.5</v>
      </c>
      <c r="Q20" s="20">
        <v>82</v>
      </c>
      <c r="R20" s="20">
        <v>83.5</v>
      </c>
      <c r="S20" s="20">
        <v>85</v>
      </c>
      <c r="T20" s="20">
        <v>84</v>
      </c>
      <c r="U20" s="20">
        <v>83</v>
      </c>
      <c r="V20" s="20">
        <v>80</v>
      </c>
    </row>
    <row r="21" spans="1:22" ht="15.6" x14ac:dyDescent="0.25">
      <c r="A21" s="22" t="s">
        <v>41</v>
      </c>
      <c r="B21" s="20">
        <v>5.7500000000000002E-2</v>
      </c>
      <c r="C21" s="20">
        <v>6.2497999999999998E-2</v>
      </c>
      <c r="D21" s="20">
        <v>6.7497000000000001E-2</v>
      </c>
      <c r="E21" s="20">
        <v>7.2496000000000005E-2</v>
      </c>
      <c r="F21" s="20">
        <v>7.7498999999999998E-2</v>
      </c>
      <c r="G21" s="20">
        <v>8.2497000000000001E-2</v>
      </c>
      <c r="H21" s="20">
        <v>8.7496000000000004E-2</v>
      </c>
      <c r="I21" s="20">
        <v>0.54881599999999997</v>
      </c>
      <c r="J21" s="20">
        <v>0.53772699999999996</v>
      </c>
      <c r="K21" s="20">
        <v>0.52476699999999998</v>
      </c>
      <c r="L21" s="20">
        <v>0.50647799999999998</v>
      </c>
      <c r="M21" s="20">
        <v>0.48372399999999999</v>
      </c>
      <c r="N21" s="20">
        <v>0.45492300000000002</v>
      </c>
      <c r="O21" s="20">
        <v>0.42626500000000001</v>
      </c>
      <c r="P21" s="20">
        <v>78.8</v>
      </c>
      <c r="Q21" s="20">
        <v>80.5</v>
      </c>
      <c r="R21" s="20">
        <v>81.900000000000006</v>
      </c>
      <c r="S21" s="20">
        <v>82.7</v>
      </c>
      <c r="T21" s="20">
        <v>82.1</v>
      </c>
      <c r="U21" s="20">
        <v>80.900000000000006</v>
      </c>
      <c r="V21" s="20">
        <v>79.099999999999994</v>
      </c>
    </row>
    <row r="22" spans="1:22" ht="15.6" x14ac:dyDescent="0.25">
      <c r="A22" s="22" t="s">
        <v>42</v>
      </c>
      <c r="B22" s="20">
        <v>6.6998000000000002E-2</v>
      </c>
      <c r="C22" s="20">
        <v>7.5998999999999997E-2</v>
      </c>
      <c r="D22" s="20">
        <v>8.5999999999999993E-2</v>
      </c>
      <c r="E22" s="20">
        <v>9.5000000000000001E-2</v>
      </c>
      <c r="F22" s="20">
        <v>0.10499799999999999</v>
      </c>
      <c r="G22" s="20">
        <v>0.113998</v>
      </c>
      <c r="H22" s="20">
        <v>0.124</v>
      </c>
      <c r="I22" s="20">
        <v>0.56499999999999995</v>
      </c>
      <c r="J22" s="20">
        <v>0.54600000000000004</v>
      </c>
      <c r="K22" s="20">
        <v>0.52300000000000002</v>
      </c>
      <c r="L22" s="20">
        <v>0.49299999999999999</v>
      </c>
      <c r="M22" s="20">
        <v>0.44900000000000001</v>
      </c>
      <c r="N22" s="20">
        <v>0.39600000000000002</v>
      </c>
      <c r="O22" s="20">
        <v>0.34399999999999997</v>
      </c>
      <c r="P22" s="20">
        <v>79.8</v>
      </c>
      <c r="Q22" s="20">
        <v>82.8</v>
      </c>
      <c r="R22" s="20">
        <v>84.5</v>
      </c>
      <c r="S22" s="20">
        <v>85</v>
      </c>
      <c r="T22" s="20">
        <v>82.4</v>
      </c>
      <c r="U22" s="20">
        <v>79.099999999999994</v>
      </c>
      <c r="V22" s="20">
        <v>74.099999999999994</v>
      </c>
    </row>
    <row r="23" spans="1:22" ht="15.6" x14ac:dyDescent="0.25">
      <c r="A23" s="22" t="s">
        <v>43</v>
      </c>
      <c r="B23" s="20">
        <v>9.9877999999999995E-2</v>
      </c>
      <c r="C23" s="20">
        <v>0.11199000000000001</v>
      </c>
      <c r="D23" s="20">
        <v>0.123916</v>
      </c>
      <c r="E23" s="20">
        <v>0.13600000000000001</v>
      </c>
      <c r="F23" s="20">
        <v>0.147954</v>
      </c>
      <c r="G23" s="20">
        <v>0.15987999999999999</v>
      </c>
      <c r="H23" s="20">
        <v>0.17199200000000001</v>
      </c>
      <c r="I23" s="20">
        <v>0.58481799999999995</v>
      </c>
      <c r="J23" s="20">
        <v>0.58481799999999995</v>
      </c>
      <c r="K23" s="20">
        <v>0.57963399999999998</v>
      </c>
      <c r="L23" s="20">
        <v>0.559473</v>
      </c>
      <c r="M23" s="20">
        <v>0.52908699999999997</v>
      </c>
      <c r="N23" s="20">
        <v>0.49855699999999997</v>
      </c>
      <c r="O23" s="20">
        <v>0.46313100000000001</v>
      </c>
      <c r="P23" s="20">
        <v>80</v>
      </c>
      <c r="Q23" s="20">
        <v>85</v>
      </c>
      <c r="R23" s="20">
        <v>89</v>
      </c>
      <c r="S23" s="20">
        <v>90.5</v>
      </c>
      <c r="T23" s="20">
        <v>90</v>
      </c>
      <c r="U23" s="20">
        <v>89</v>
      </c>
      <c r="V23" s="20">
        <v>86</v>
      </c>
    </row>
    <row r="24" spans="1:22" ht="15.6" x14ac:dyDescent="0.25">
      <c r="A24" s="22" t="s">
        <v>44</v>
      </c>
      <c r="B24" s="20">
        <v>8.7999999999999995E-2</v>
      </c>
      <c r="C24" s="20">
        <v>9.8998000000000003E-2</v>
      </c>
      <c r="D24" s="20">
        <v>0.11</v>
      </c>
      <c r="E24" s="20">
        <v>0.121</v>
      </c>
      <c r="F24" s="20">
        <v>0.13300000000000001</v>
      </c>
      <c r="G24" s="20">
        <v>0.14399899999999999</v>
      </c>
      <c r="H24" s="20">
        <v>0.155</v>
      </c>
      <c r="I24" s="20">
        <v>0.56599999999999995</v>
      </c>
      <c r="J24" s="20">
        <v>0.56399999999999995</v>
      </c>
      <c r="K24" s="20">
        <v>0.55500000000000005</v>
      </c>
      <c r="L24" s="20">
        <v>0.54500000000000004</v>
      </c>
      <c r="M24" s="20">
        <v>0.52900000000000003</v>
      </c>
      <c r="N24" s="20">
        <v>0.505</v>
      </c>
      <c r="O24" s="20">
        <v>0.46200000000000002</v>
      </c>
      <c r="P24" s="20">
        <v>75.400000000000006</v>
      </c>
      <c r="Q24" s="20">
        <v>79</v>
      </c>
      <c r="R24" s="20">
        <v>81.400000000000006</v>
      </c>
      <c r="S24" s="20">
        <v>83.6</v>
      </c>
      <c r="T24" s="20">
        <v>85</v>
      </c>
      <c r="U24" s="20">
        <v>83.8</v>
      </c>
      <c r="V24" s="20">
        <v>80.599999999999994</v>
      </c>
    </row>
    <row r="25" spans="1:22" ht="15.6" x14ac:dyDescent="0.25">
      <c r="A25" s="22" t="s">
        <v>45</v>
      </c>
      <c r="B25" s="20">
        <v>8.3500000000000005E-2</v>
      </c>
      <c r="C25" s="20">
        <v>9.7500000000000003E-2</v>
      </c>
      <c r="D25" s="20">
        <v>0.1115</v>
      </c>
      <c r="E25" s="20">
        <v>0.1255</v>
      </c>
      <c r="F25" s="20">
        <v>0.13950000000000001</v>
      </c>
      <c r="G25" s="20">
        <v>0.1535</v>
      </c>
      <c r="H25" s="20">
        <v>0.16750000000000001</v>
      </c>
      <c r="I25" s="20">
        <v>0.59345899999999996</v>
      </c>
      <c r="J25" s="20">
        <v>0.58726599999999995</v>
      </c>
      <c r="K25" s="20">
        <v>0.56984100000000004</v>
      </c>
      <c r="L25" s="20">
        <v>0.54320000000000002</v>
      </c>
      <c r="M25" s="20">
        <v>0.50619000000000003</v>
      </c>
      <c r="N25" s="20">
        <v>0.455067</v>
      </c>
      <c r="O25" s="20">
        <v>0.39170300000000002</v>
      </c>
      <c r="P25" s="20">
        <v>75.3</v>
      </c>
      <c r="Q25" s="20">
        <v>79.400000000000006</v>
      </c>
      <c r="R25" s="20">
        <v>82.2</v>
      </c>
      <c r="S25" s="20">
        <v>83.5</v>
      </c>
      <c r="T25" s="20">
        <v>82.9</v>
      </c>
      <c r="U25" s="20">
        <v>80.3</v>
      </c>
      <c r="V25" s="20">
        <v>75.3</v>
      </c>
    </row>
    <row r="26" spans="1:22" ht="15.6" x14ac:dyDescent="0.25">
      <c r="A26" s="22" t="s">
        <v>46</v>
      </c>
      <c r="B26" s="20">
        <v>8.0600000000000005E-2</v>
      </c>
      <c r="C26" s="20">
        <v>0.11210000000000001</v>
      </c>
      <c r="D26" s="20">
        <v>0.124</v>
      </c>
      <c r="E26" s="20">
        <v>0.13472400000000001</v>
      </c>
      <c r="F26" s="20">
        <v>0.14579700000000001</v>
      </c>
      <c r="G26" s="20">
        <v>0.15109800000000001</v>
      </c>
      <c r="H26" s="20">
        <v>0.16400000000000001</v>
      </c>
      <c r="I26" s="20">
        <v>0.57200099999999998</v>
      </c>
      <c r="J26" s="20">
        <v>0.51713399999999998</v>
      </c>
      <c r="K26" s="20">
        <v>0.49049300000000001</v>
      </c>
      <c r="L26" s="20">
        <v>0.46025100000000002</v>
      </c>
      <c r="M26" s="20">
        <v>0.42597699999999999</v>
      </c>
      <c r="N26" s="20">
        <v>0.41042400000000001</v>
      </c>
      <c r="O26" s="20">
        <v>0.365205</v>
      </c>
      <c r="P26" s="20">
        <v>81</v>
      </c>
      <c r="Q26" s="20">
        <v>83</v>
      </c>
      <c r="R26" s="20">
        <v>83</v>
      </c>
      <c r="S26" s="20">
        <v>83</v>
      </c>
      <c r="T26" s="20">
        <v>82</v>
      </c>
      <c r="U26" s="20">
        <v>81</v>
      </c>
      <c r="V26" s="20">
        <v>80</v>
      </c>
    </row>
    <row r="27" spans="1:22" ht="15.6" x14ac:dyDescent="0.25">
      <c r="A27" s="22" t="s">
        <v>47</v>
      </c>
      <c r="B27" s="20">
        <v>9.9897E-2</v>
      </c>
      <c r="C27" s="20">
        <v>0.119877</v>
      </c>
      <c r="D27" s="20">
        <v>0.13486300000000001</v>
      </c>
      <c r="E27" s="20">
        <v>0.14984500000000001</v>
      </c>
      <c r="F27" s="20">
        <v>0.16483200000000001</v>
      </c>
      <c r="G27" s="20">
        <v>0.17981800000000001</v>
      </c>
      <c r="H27" s="20">
        <v>0.189</v>
      </c>
      <c r="I27" s="20">
        <v>0.54953600000000002</v>
      </c>
      <c r="J27" s="20">
        <v>0.52951899999999996</v>
      </c>
      <c r="K27" s="20">
        <v>0.49956499999999998</v>
      </c>
      <c r="L27" s="20">
        <v>0.46946700000000002</v>
      </c>
      <c r="M27" s="20">
        <v>0.43965799999999999</v>
      </c>
      <c r="N27" s="20">
        <v>0.40955999999999998</v>
      </c>
      <c r="O27" s="20">
        <v>0.382054</v>
      </c>
      <c r="P27" s="20">
        <v>79</v>
      </c>
      <c r="Q27" s="20">
        <v>81.8</v>
      </c>
      <c r="R27" s="20">
        <v>82</v>
      </c>
      <c r="S27" s="20">
        <v>81</v>
      </c>
      <c r="T27" s="20">
        <v>79</v>
      </c>
      <c r="U27" s="20">
        <v>76</v>
      </c>
      <c r="V27" s="20">
        <v>73</v>
      </c>
    </row>
    <row r="28" spans="1:22" ht="15.6" x14ac:dyDescent="0.25">
      <c r="A28" s="19" t="s">
        <v>48</v>
      </c>
      <c r="B28" s="20">
        <v>0.09</v>
      </c>
      <c r="C28" s="20">
        <v>0.11</v>
      </c>
      <c r="D28" s="20">
        <v>0.13</v>
      </c>
      <c r="E28" s="20">
        <v>0.15</v>
      </c>
      <c r="F28" s="20">
        <v>0.17</v>
      </c>
      <c r="G28" s="20">
        <v>0.19</v>
      </c>
      <c r="H28" s="20">
        <v>0.21</v>
      </c>
      <c r="I28" s="20">
        <v>0.56999999999999995</v>
      </c>
      <c r="J28" s="20">
        <v>0.56999999999999995</v>
      </c>
      <c r="K28" s="20">
        <v>0.55000000000000004</v>
      </c>
      <c r="L28" s="20">
        <v>0.53</v>
      </c>
      <c r="M28" s="20">
        <v>0.49</v>
      </c>
      <c r="N28" s="20">
        <v>0.45</v>
      </c>
      <c r="O28" s="20">
        <v>0.4</v>
      </c>
      <c r="P28" s="20">
        <v>73</v>
      </c>
      <c r="Q28" s="20">
        <v>79</v>
      </c>
      <c r="R28" s="20">
        <v>82</v>
      </c>
      <c r="S28" s="20">
        <v>84</v>
      </c>
      <c r="T28" s="20">
        <v>82</v>
      </c>
      <c r="U28" s="20">
        <v>79</v>
      </c>
      <c r="V28" s="20">
        <v>74</v>
      </c>
    </row>
    <row r="29" spans="1:22" ht="15.6" x14ac:dyDescent="0.25">
      <c r="A29" s="19" t="s">
        <v>49</v>
      </c>
      <c r="B29" s="20">
        <v>0.09</v>
      </c>
      <c r="C29" s="20">
        <v>0.11</v>
      </c>
      <c r="D29" s="20">
        <v>0.13</v>
      </c>
      <c r="E29" s="20">
        <v>0.15</v>
      </c>
      <c r="F29" s="20">
        <v>0.17</v>
      </c>
      <c r="G29" s="20">
        <v>0.19</v>
      </c>
      <c r="H29" s="20">
        <v>0.21</v>
      </c>
      <c r="I29" s="20">
        <v>0.56499999999999995</v>
      </c>
      <c r="J29" s="20">
        <v>0.56000000000000005</v>
      </c>
      <c r="K29" s="20">
        <v>0.54</v>
      </c>
      <c r="L29" s="20">
        <v>0.52</v>
      </c>
      <c r="M29" s="20">
        <v>0.48</v>
      </c>
      <c r="N29" s="20">
        <v>0.43</v>
      </c>
      <c r="O29" s="20">
        <v>0.37</v>
      </c>
      <c r="P29" s="20">
        <v>72</v>
      </c>
      <c r="Q29" s="20">
        <v>77</v>
      </c>
      <c r="R29" s="20">
        <v>80</v>
      </c>
      <c r="S29" s="20">
        <v>81</v>
      </c>
      <c r="T29" s="20">
        <v>80</v>
      </c>
      <c r="U29" s="20">
        <v>77</v>
      </c>
      <c r="V29" s="20">
        <v>72</v>
      </c>
    </row>
    <row r="30" spans="1:22" ht="15.6" x14ac:dyDescent="0.25">
      <c r="A30" s="22" t="s">
        <v>50</v>
      </c>
      <c r="B30" s="20">
        <v>8.9996999999999994E-2</v>
      </c>
      <c r="C30" s="20">
        <v>0.111399</v>
      </c>
      <c r="D30" s="20">
        <v>0.1371</v>
      </c>
      <c r="E30" s="20">
        <v>0.1628</v>
      </c>
      <c r="F30" s="20">
        <v>0.1885</v>
      </c>
      <c r="G30" s="20">
        <v>0.22800000000000001</v>
      </c>
      <c r="H30" s="20">
        <v>0.24279999999999999</v>
      </c>
      <c r="I30" s="20">
        <v>0.52764699999999998</v>
      </c>
      <c r="J30" s="20">
        <v>0.51569399999999999</v>
      </c>
      <c r="K30" s="20">
        <v>0.47508400000000001</v>
      </c>
      <c r="L30" s="20">
        <v>0.418632</v>
      </c>
      <c r="M30" s="20">
        <v>0.34504400000000002</v>
      </c>
      <c r="N30" s="20">
        <v>0.314946</v>
      </c>
      <c r="O30" s="20">
        <v>0.27505600000000002</v>
      </c>
      <c r="P30" s="20">
        <v>77.8</v>
      </c>
      <c r="Q30" s="20">
        <v>84.8</v>
      </c>
      <c r="R30" s="20">
        <v>87.5</v>
      </c>
      <c r="S30" s="20">
        <v>85.5</v>
      </c>
      <c r="T30" s="20">
        <v>78.400000000000006</v>
      </c>
      <c r="U30" s="20">
        <v>73.400000000000006</v>
      </c>
      <c r="V30" s="20">
        <v>71</v>
      </c>
    </row>
    <row r="31" spans="1:22" ht="15.6" x14ac:dyDescent="0.25">
      <c r="A31" s="22" t="s">
        <v>51</v>
      </c>
      <c r="B31" s="20">
        <v>8.9996999999999994E-2</v>
      </c>
      <c r="C31" s="20">
        <v>9.9999000000000005E-2</v>
      </c>
      <c r="D31" s="20">
        <v>0.11</v>
      </c>
      <c r="E31" s="20">
        <v>0.122998</v>
      </c>
      <c r="F31" s="20">
        <v>0.13999700000000001</v>
      </c>
      <c r="G31" s="20">
        <v>0.14499999999999999</v>
      </c>
      <c r="H31" s="20">
        <v>0.16200000000000001</v>
      </c>
      <c r="I31" s="20">
        <v>0.56076899999999996</v>
      </c>
      <c r="J31" s="20">
        <v>0.5504</v>
      </c>
      <c r="K31" s="20">
        <v>0.54132800000000003</v>
      </c>
      <c r="L31" s="20">
        <v>0.525343</v>
      </c>
      <c r="M31" s="20">
        <v>0.47623599999999999</v>
      </c>
      <c r="N31" s="20">
        <v>0.44541799999999998</v>
      </c>
      <c r="O31" s="20">
        <v>0.41114400000000001</v>
      </c>
      <c r="P31" s="20">
        <v>80</v>
      </c>
      <c r="Q31" s="20">
        <v>82</v>
      </c>
      <c r="R31" s="20">
        <v>83.3</v>
      </c>
      <c r="S31" s="20">
        <v>84</v>
      </c>
      <c r="T31" s="20">
        <v>83.5</v>
      </c>
      <c r="U31" s="20">
        <v>81.5</v>
      </c>
      <c r="V31" s="20">
        <v>79.5</v>
      </c>
    </row>
    <row r="32" spans="1:22" ht="15.6" x14ac:dyDescent="0.25">
      <c r="A32" s="22" t="s">
        <v>52</v>
      </c>
      <c r="B32" s="20">
        <v>2.5000000000000001E-2</v>
      </c>
      <c r="C32" s="20">
        <v>2.9995999999999998E-2</v>
      </c>
      <c r="D32" s="20">
        <v>3.4999000000000002E-2</v>
      </c>
      <c r="E32" s="20">
        <v>3.9997999999999999E-2</v>
      </c>
      <c r="F32" s="20">
        <v>4.4996000000000001E-2</v>
      </c>
      <c r="G32" s="20">
        <v>0.05</v>
      </c>
      <c r="H32" s="20">
        <v>5.4997999999999998E-2</v>
      </c>
      <c r="I32" s="20">
        <v>0.69152800000000003</v>
      </c>
      <c r="J32" s="20">
        <v>0.68634399999999995</v>
      </c>
      <c r="K32" s="20">
        <v>0.67079100000000003</v>
      </c>
      <c r="L32" s="20">
        <v>0.66056700000000002</v>
      </c>
      <c r="M32" s="20">
        <v>0.63464500000000001</v>
      </c>
      <c r="N32" s="20">
        <v>0.609012</v>
      </c>
      <c r="O32" s="20">
        <v>0.58323400000000003</v>
      </c>
      <c r="P32" s="20">
        <v>56</v>
      </c>
      <c r="Q32" s="20">
        <v>59</v>
      </c>
      <c r="R32" s="20">
        <v>61</v>
      </c>
      <c r="S32" s="20">
        <v>61</v>
      </c>
      <c r="T32" s="20">
        <v>60.2</v>
      </c>
      <c r="U32" s="20">
        <v>59</v>
      </c>
      <c r="V32" s="20">
        <v>57.1</v>
      </c>
    </row>
    <row r="33" spans="1:22" ht="15.6" x14ac:dyDescent="0.25">
      <c r="A33" s="22" t="s">
        <v>53</v>
      </c>
      <c r="B33" s="20">
        <v>2.4993000000000001E-2</v>
      </c>
      <c r="C33" s="20">
        <v>2.9381000000000001E-2</v>
      </c>
      <c r="D33" s="20">
        <v>3.3709000000000003E-2</v>
      </c>
      <c r="E33" s="20">
        <v>3.7184000000000002E-2</v>
      </c>
      <c r="F33" s="20">
        <v>4.0621999999999998E-2</v>
      </c>
      <c r="G33" s="20">
        <v>4.4353999999999998E-2</v>
      </c>
      <c r="H33" s="20">
        <v>4.7507000000000001E-2</v>
      </c>
      <c r="I33" s="20">
        <v>0.59979499999999997</v>
      </c>
      <c r="J33" s="20">
        <v>0.58237000000000005</v>
      </c>
      <c r="K33" s="20">
        <v>0.57948999999999995</v>
      </c>
      <c r="L33" s="20">
        <v>0.533551</v>
      </c>
      <c r="M33" s="20">
        <v>0.50316499999999997</v>
      </c>
      <c r="N33" s="20">
        <v>0.47277999999999998</v>
      </c>
      <c r="O33" s="20">
        <v>0.43864999999999998</v>
      </c>
      <c r="P33" s="20">
        <v>40</v>
      </c>
      <c r="Q33" s="20">
        <v>55</v>
      </c>
      <c r="R33" s="20">
        <v>61</v>
      </c>
      <c r="S33" s="20">
        <v>60</v>
      </c>
      <c r="T33" s="20">
        <v>55</v>
      </c>
      <c r="U33" s="20">
        <v>47.5</v>
      </c>
      <c r="V33" s="20">
        <v>37.5</v>
      </c>
    </row>
    <row r="34" spans="1:22" ht="15.6" x14ac:dyDescent="0.25">
      <c r="A34" s="22" t="s">
        <v>54</v>
      </c>
      <c r="B34" s="20">
        <v>3.8857000000000003E-2</v>
      </c>
      <c r="C34" s="20">
        <v>4.2550999999999999E-2</v>
      </c>
      <c r="D34" s="20">
        <v>4.7349000000000002E-2</v>
      </c>
      <c r="E34" s="20">
        <v>5.4639E-2</v>
      </c>
      <c r="F34" s="20">
        <v>5.654E-2</v>
      </c>
      <c r="G34" s="20">
        <v>6.0733000000000002E-2</v>
      </c>
      <c r="H34" s="20">
        <v>6.6825999999999997E-2</v>
      </c>
      <c r="I34" s="20">
        <v>0.61491600000000002</v>
      </c>
      <c r="J34" s="20">
        <v>0.60555499999999995</v>
      </c>
      <c r="K34" s="20">
        <v>0.59028999999999998</v>
      </c>
      <c r="L34" s="20">
        <v>0.55904100000000001</v>
      </c>
      <c r="M34" s="20">
        <v>0.54982399999999998</v>
      </c>
      <c r="N34" s="20">
        <v>0.52663899999999997</v>
      </c>
      <c r="O34" s="20">
        <v>0.49250899999999997</v>
      </c>
      <c r="P34" s="20">
        <v>73.7</v>
      </c>
      <c r="Q34" s="20">
        <v>77.5</v>
      </c>
      <c r="R34" s="20">
        <v>79</v>
      </c>
      <c r="S34" s="20">
        <v>79.2</v>
      </c>
      <c r="T34" s="20">
        <v>78.2</v>
      </c>
      <c r="U34" s="20">
        <v>75.599999999999994</v>
      </c>
      <c r="V34" s="20">
        <v>71.3</v>
      </c>
    </row>
    <row r="35" spans="1:22" ht="15.6" x14ac:dyDescent="0.25">
      <c r="A35" s="22" t="s">
        <v>55</v>
      </c>
      <c r="B35" s="20">
        <v>3.0554999999999999E-2</v>
      </c>
      <c r="C35" s="20">
        <v>3.5442000000000001E-2</v>
      </c>
      <c r="D35" s="20">
        <v>4.5220000000000003E-2</v>
      </c>
      <c r="E35" s="20">
        <v>5.6218999999999998E-2</v>
      </c>
      <c r="F35" s="20">
        <v>6.5997E-2</v>
      </c>
      <c r="G35" s="20">
        <v>7.0888000000000007E-2</v>
      </c>
      <c r="H35" s="20">
        <v>8.0879999999999994E-2</v>
      </c>
      <c r="I35" s="20">
        <v>0.621</v>
      </c>
      <c r="J35" s="20">
        <v>0.61299999999999999</v>
      </c>
      <c r="K35" s="20">
        <v>0.59199999999999997</v>
      </c>
      <c r="L35" s="20">
        <v>0.56299999999999994</v>
      </c>
      <c r="M35" s="20">
        <v>0.52500000000000002</v>
      </c>
      <c r="N35" s="20">
        <v>0.48399999999999999</v>
      </c>
      <c r="O35" s="20">
        <v>0.44400000000000001</v>
      </c>
      <c r="P35" s="20">
        <v>78.5</v>
      </c>
      <c r="Q35" s="20">
        <v>80.400000000000006</v>
      </c>
      <c r="R35" s="20">
        <v>82.7</v>
      </c>
      <c r="S35" s="20">
        <v>81.900000000000006</v>
      </c>
      <c r="T35" s="20">
        <v>80</v>
      </c>
      <c r="U35" s="20">
        <v>78.099999999999994</v>
      </c>
      <c r="V35" s="20">
        <v>75.7</v>
      </c>
    </row>
    <row r="36" spans="1:22" ht="15.6" x14ac:dyDescent="0.25">
      <c r="A36" s="22" t="s">
        <v>56</v>
      </c>
      <c r="B36" s="20">
        <v>0.04</v>
      </c>
      <c r="C36" s="20">
        <v>0.05</v>
      </c>
      <c r="D36" s="20">
        <v>0.06</v>
      </c>
      <c r="E36" s="20">
        <v>7.0000000000000007E-2</v>
      </c>
      <c r="F36" s="20">
        <v>0.08</v>
      </c>
      <c r="G36" s="20">
        <v>0.09</v>
      </c>
      <c r="H36" s="20">
        <v>9.5163999999999999E-2</v>
      </c>
      <c r="I36" s="20">
        <v>0.63291699999999995</v>
      </c>
      <c r="J36" s="20">
        <v>0.61909199999999998</v>
      </c>
      <c r="K36" s="20">
        <v>0.59936299999999998</v>
      </c>
      <c r="L36" s="20">
        <v>0.56782500000000002</v>
      </c>
      <c r="M36" s="20">
        <v>0.52030200000000004</v>
      </c>
      <c r="N36" s="20">
        <v>0.45909899999999998</v>
      </c>
      <c r="O36" s="20">
        <v>0.42352899999999999</v>
      </c>
      <c r="P36" s="20">
        <v>79.52</v>
      </c>
      <c r="Q36" s="20">
        <v>81.22</v>
      </c>
      <c r="R36" s="20">
        <v>83.07</v>
      </c>
      <c r="S36" s="20">
        <v>84.03</v>
      </c>
      <c r="T36" s="20">
        <v>83.7</v>
      </c>
      <c r="U36" s="20">
        <v>82.88</v>
      </c>
      <c r="V36" s="20">
        <v>81.34</v>
      </c>
    </row>
    <row r="37" spans="1:22" ht="15.6" x14ac:dyDescent="0.25">
      <c r="A37" s="22" t="s">
        <v>57</v>
      </c>
      <c r="B37" s="20">
        <v>6.0999999999999999E-2</v>
      </c>
      <c r="C37" s="20">
        <v>7.0000000000000007E-2</v>
      </c>
      <c r="D37" s="20">
        <v>8.5493E-2</v>
      </c>
      <c r="E37" s="20">
        <v>0.107476</v>
      </c>
      <c r="F37" s="20">
        <v>0.13167699999999999</v>
      </c>
      <c r="G37" s="20">
        <v>0.136792</v>
      </c>
      <c r="H37" s="20">
        <v>0.151448</v>
      </c>
      <c r="I37" s="20">
        <v>0.59</v>
      </c>
      <c r="J37" s="20">
        <v>0.59</v>
      </c>
      <c r="K37" s="20">
        <v>0.57799999999999996</v>
      </c>
      <c r="L37" s="20">
        <v>0.55500000000000005</v>
      </c>
      <c r="M37" s="20">
        <v>0.51600000000000001</v>
      </c>
      <c r="N37" s="20">
        <v>0.47099999999999997</v>
      </c>
      <c r="O37" s="20">
        <v>0.42299999999999999</v>
      </c>
      <c r="P37" s="20">
        <v>76</v>
      </c>
      <c r="Q37" s="20">
        <v>80</v>
      </c>
      <c r="R37" s="20">
        <v>82.6</v>
      </c>
      <c r="S37" s="20">
        <v>83.6</v>
      </c>
      <c r="T37" s="20">
        <v>82.7</v>
      </c>
      <c r="U37" s="20">
        <v>81</v>
      </c>
      <c r="V37" s="20">
        <v>79.8</v>
      </c>
    </row>
    <row r="38" spans="1:22" ht="15.6" x14ac:dyDescent="0.25">
      <c r="A38" s="22" t="s">
        <v>58</v>
      </c>
      <c r="B38" s="20">
        <v>0.05</v>
      </c>
      <c r="C38" s="20">
        <v>9.9999000000000005E-2</v>
      </c>
      <c r="D38" s="20">
        <v>0.15</v>
      </c>
      <c r="E38" s="20">
        <v>0.2</v>
      </c>
      <c r="F38" s="20">
        <v>0.25</v>
      </c>
      <c r="G38" s="20">
        <v>0.3</v>
      </c>
      <c r="H38" s="20">
        <v>0.35</v>
      </c>
      <c r="I38" s="20">
        <v>0.64501399999999998</v>
      </c>
      <c r="J38" s="20">
        <v>0.65019800000000005</v>
      </c>
      <c r="K38" s="20">
        <v>0.64760600000000001</v>
      </c>
      <c r="L38" s="20">
        <v>0.63723700000000005</v>
      </c>
      <c r="M38" s="20">
        <v>0.58323400000000003</v>
      </c>
      <c r="N38" s="20">
        <v>0.48574000000000001</v>
      </c>
      <c r="O38" s="20">
        <v>0.37845400000000001</v>
      </c>
      <c r="P38" s="20">
        <v>78</v>
      </c>
      <c r="Q38" s="20">
        <v>80</v>
      </c>
      <c r="R38" s="20">
        <v>81</v>
      </c>
      <c r="S38" s="20">
        <v>81</v>
      </c>
      <c r="T38" s="20">
        <v>78</v>
      </c>
      <c r="U38" s="20">
        <v>74</v>
      </c>
      <c r="V38" s="20">
        <v>70</v>
      </c>
    </row>
    <row r="39" spans="1:22" ht="15.6" x14ac:dyDescent="0.25">
      <c r="A39" s="22" t="s">
        <v>59</v>
      </c>
      <c r="B39" s="20">
        <v>9.9999000000000005E-2</v>
      </c>
      <c r="C39" s="20">
        <v>0.124</v>
      </c>
      <c r="D39" s="20">
        <v>0.14899699999999999</v>
      </c>
      <c r="E39" s="20">
        <v>0.17299800000000001</v>
      </c>
      <c r="F39" s="20">
        <v>0.19699800000000001</v>
      </c>
      <c r="G39" s="20">
        <v>0.222</v>
      </c>
      <c r="H39" s="20">
        <v>0.246</v>
      </c>
      <c r="I39" s="20">
        <v>0.62643700000000002</v>
      </c>
      <c r="J39" s="20">
        <v>0.61203600000000002</v>
      </c>
      <c r="K39" s="20">
        <v>0.58222600000000002</v>
      </c>
      <c r="L39" s="20">
        <v>0.54723200000000005</v>
      </c>
      <c r="M39" s="20">
        <v>0.51036599999999999</v>
      </c>
      <c r="N39" s="20">
        <v>0.46831499999999998</v>
      </c>
      <c r="O39" s="20">
        <v>0.422377</v>
      </c>
      <c r="P39" s="20">
        <v>74.2</v>
      </c>
      <c r="Q39" s="20">
        <v>78.5</v>
      </c>
      <c r="R39" s="20">
        <v>82</v>
      </c>
      <c r="S39" s="20">
        <v>82</v>
      </c>
      <c r="T39" s="20">
        <v>79</v>
      </c>
      <c r="U39" s="20">
        <v>75.5</v>
      </c>
      <c r="V39" s="20">
        <v>71</v>
      </c>
    </row>
    <row r="40" spans="1:22" ht="15.6" x14ac:dyDescent="0.25">
      <c r="A40" s="19" t="s">
        <v>60</v>
      </c>
      <c r="B40" s="20">
        <v>0.1</v>
      </c>
      <c r="C40" s="20">
        <v>0.12</v>
      </c>
      <c r="D40" s="20">
        <v>0.14000000000000001</v>
      </c>
      <c r="E40" s="20">
        <v>0.16</v>
      </c>
      <c r="F40" s="20">
        <v>0.18</v>
      </c>
      <c r="G40" s="20">
        <v>0.2</v>
      </c>
      <c r="H40" s="20">
        <v>0.22</v>
      </c>
      <c r="I40" s="20">
        <v>0.62</v>
      </c>
      <c r="J40" s="20">
        <v>0.61</v>
      </c>
      <c r="K40" s="20">
        <v>0.59</v>
      </c>
      <c r="L40" s="20">
        <v>0.56000000000000005</v>
      </c>
      <c r="M40" s="20">
        <v>0.53</v>
      </c>
      <c r="N40" s="20">
        <v>0.5</v>
      </c>
      <c r="O40" s="20">
        <v>0.46</v>
      </c>
      <c r="P40" s="20">
        <v>75</v>
      </c>
      <c r="Q40" s="20">
        <v>78</v>
      </c>
      <c r="R40" s="20">
        <v>81</v>
      </c>
      <c r="S40" s="20">
        <v>83</v>
      </c>
      <c r="T40" s="20">
        <v>82</v>
      </c>
      <c r="U40" s="20">
        <v>80</v>
      </c>
      <c r="V40" s="20">
        <v>77</v>
      </c>
    </row>
    <row r="41" spans="1:22" ht="15.6" x14ac:dyDescent="0.25">
      <c r="A41" s="19" t="s">
        <v>61</v>
      </c>
      <c r="B41" s="20">
        <v>0.09</v>
      </c>
      <c r="C41" s="20">
        <v>0.11</v>
      </c>
      <c r="D41" s="20">
        <v>0.13</v>
      </c>
      <c r="E41" s="20">
        <v>0.15</v>
      </c>
      <c r="F41" s="20">
        <v>0.17</v>
      </c>
      <c r="G41" s="20">
        <v>0.19</v>
      </c>
      <c r="H41" s="20">
        <v>0.21</v>
      </c>
      <c r="I41" s="20">
        <v>0.61</v>
      </c>
      <c r="J41" s="20">
        <v>0.6</v>
      </c>
      <c r="K41" s="20">
        <v>0.57999999999999996</v>
      </c>
      <c r="L41" s="20">
        <v>0.56000000000000005</v>
      </c>
      <c r="M41" s="20">
        <v>0.53</v>
      </c>
      <c r="N41" s="20">
        <v>0.5</v>
      </c>
      <c r="O41" s="20">
        <v>0.46</v>
      </c>
      <c r="P41" s="20">
        <v>72</v>
      </c>
      <c r="Q41" s="20">
        <v>76</v>
      </c>
      <c r="R41" s="20">
        <v>78</v>
      </c>
      <c r="S41" s="20">
        <v>80</v>
      </c>
      <c r="T41" s="20">
        <v>79</v>
      </c>
      <c r="U41" s="20">
        <v>77</v>
      </c>
      <c r="V41" s="20">
        <v>74</v>
      </c>
    </row>
    <row r="42" spans="1:22" ht="15.6" x14ac:dyDescent="0.25">
      <c r="A42" s="19" t="s">
        <v>62</v>
      </c>
      <c r="B42" s="20">
        <v>0.105</v>
      </c>
      <c r="C42" s="20">
        <v>0.12</v>
      </c>
      <c r="D42" s="20">
        <v>0.13500000000000001</v>
      </c>
      <c r="E42" s="20">
        <v>0.15</v>
      </c>
      <c r="F42" s="20">
        <v>0.16500000000000001</v>
      </c>
      <c r="G42" s="20">
        <v>0.18</v>
      </c>
      <c r="H42" s="20">
        <v>0.19500000000000001</v>
      </c>
      <c r="I42" s="20">
        <v>0.6</v>
      </c>
      <c r="J42" s="20">
        <v>0.59199999999999997</v>
      </c>
      <c r="K42" s="20">
        <v>0.58499999999999996</v>
      </c>
      <c r="L42" s="20">
        <v>0.57099999999999995</v>
      </c>
      <c r="M42" s="20">
        <v>0.54900000000000004</v>
      </c>
      <c r="N42" s="20">
        <v>0.51400000000000001</v>
      </c>
      <c r="O42" s="20">
        <v>0.46700000000000003</v>
      </c>
      <c r="P42" s="20">
        <v>74.5</v>
      </c>
      <c r="Q42" s="20">
        <v>77.8</v>
      </c>
      <c r="R42" s="20">
        <v>80.2</v>
      </c>
      <c r="S42" s="20">
        <v>81.7</v>
      </c>
      <c r="T42" s="20">
        <v>81.599999999999994</v>
      </c>
      <c r="U42" s="20">
        <v>80</v>
      </c>
      <c r="V42" s="20">
        <v>76.5</v>
      </c>
    </row>
    <row r="43" spans="1:22" ht="15.6" x14ac:dyDescent="0.25">
      <c r="A43" s="22" t="s">
        <v>63</v>
      </c>
      <c r="B43" s="20">
        <v>1.2531E-2</v>
      </c>
      <c r="C43" s="20">
        <v>1.49E-2</v>
      </c>
      <c r="D43" s="20">
        <v>1.7468999999999998E-2</v>
      </c>
      <c r="E43" s="20">
        <v>0.02</v>
      </c>
      <c r="F43" s="20">
        <v>2.2547000000000001E-2</v>
      </c>
      <c r="G43" s="20">
        <v>2.4923000000000001E-2</v>
      </c>
      <c r="H43" s="20">
        <v>2.7484999999999999E-2</v>
      </c>
      <c r="I43" s="20">
        <v>0.74898799999999999</v>
      </c>
      <c r="J43" s="20">
        <v>0.71917799999999998</v>
      </c>
      <c r="K43" s="20">
        <v>0.68922399999999995</v>
      </c>
      <c r="L43" s="20">
        <v>0.63925299999999996</v>
      </c>
      <c r="M43" s="20">
        <v>0.57963399999999998</v>
      </c>
      <c r="N43" s="20">
        <v>0.53873499999999996</v>
      </c>
      <c r="O43" s="20">
        <v>0.47911599999999999</v>
      </c>
      <c r="P43" s="20">
        <v>65</v>
      </c>
      <c r="Q43" s="20">
        <v>68</v>
      </c>
      <c r="R43" s="20">
        <v>71</v>
      </c>
      <c r="S43" s="20">
        <v>72</v>
      </c>
      <c r="T43" s="20">
        <v>71</v>
      </c>
      <c r="U43" s="20">
        <v>68</v>
      </c>
      <c r="V43" s="20">
        <v>66</v>
      </c>
    </row>
    <row r="44" spans="1:22" ht="15.6" x14ac:dyDescent="0.25">
      <c r="A44" s="22" t="s">
        <v>64</v>
      </c>
      <c r="B44" s="20">
        <v>4.0155999999999997E-2</v>
      </c>
      <c r="C44" s="20">
        <v>0.05</v>
      </c>
      <c r="D44" s="20">
        <v>0.06</v>
      </c>
      <c r="E44" s="20">
        <v>6.7967E-2</v>
      </c>
      <c r="F44" s="20">
        <v>7.9889299999999996E-2</v>
      </c>
      <c r="G44" s="20">
        <v>9.0607999999999994E-2</v>
      </c>
      <c r="H44" s="20">
        <v>0.10062400000000001</v>
      </c>
      <c r="I44" s="20">
        <v>0.71960999999999997</v>
      </c>
      <c r="J44" s="20">
        <v>0.73458699999999999</v>
      </c>
      <c r="K44" s="20">
        <v>0.73919500000000005</v>
      </c>
      <c r="L44" s="20">
        <v>0.72925899999999999</v>
      </c>
      <c r="M44" s="20">
        <v>0.71960999999999997</v>
      </c>
      <c r="N44" s="20">
        <v>0.70031299999999996</v>
      </c>
      <c r="O44" s="20">
        <v>0.65984699999999996</v>
      </c>
      <c r="P44" s="20">
        <v>61</v>
      </c>
      <c r="Q44" s="20">
        <v>65.7</v>
      </c>
      <c r="R44" s="20">
        <v>68</v>
      </c>
      <c r="S44" s="20">
        <v>69</v>
      </c>
      <c r="T44" s="20">
        <v>68.5</v>
      </c>
      <c r="U44" s="20">
        <v>67</v>
      </c>
      <c r="V44" s="20">
        <v>64</v>
      </c>
    </row>
    <row r="45" spans="1:22" ht="15.6" x14ac:dyDescent="0.25">
      <c r="A45" s="19" t="s">
        <v>65</v>
      </c>
      <c r="B45" s="20">
        <v>0.10125000000000001</v>
      </c>
      <c r="C45" s="20">
        <v>0.1125</v>
      </c>
      <c r="D45" s="20">
        <v>0.12375</v>
      </c>
      <c r="E45" s="20">
        <v>0.13500000000000001</v>
      </c>
      <c r="F45" s="20">
        <v>0.14624999999999999</v>
      </c>
      <c r="G45" s="20">
        <v>0.1575</v>
      </c>
      <c r="H45" s="20">
        <v>0.16875000000000001</v>
      </c>
      <c r="I45" s="20">
        <v>0.71199999999999997</v>
      </c>
      <c r="J45" s="20">
        <v>0.70499999999999996</v>
      </c>
      <c r="K45" s="20">
        <v>0.69750000000000001</v>
      </c>
      <c r="L45" s="20">
        <v>0.68500000000000005</v>
      </c>
      <c r="M45" s="20">
        <v>0.66749999999999998</v>
      </c>
      <c r="N45" s="20">
        <v>0.64249999999999996</v>
      </c>
      <c r="O45" s="20">
        <v>0.61250000000000004</v>
      </c>
      <c r="P45" s="20">
        <v>84</v>
      </c>
      <c r="Q45" s="20">
        <v>85.4</v>
      </c>
      <c r="R45" s="20">
        <v>86.2</v>
      </c>
      <c r="S45" s="20">
        <v>86.5</v>
      </c>
      <c r="T45" s="20">
        <v>85.9</v>
      </c>
      <c r="U45" s="20">
        <v>84.7</v>
      </c>
      <c r="V45" s="20">
        <v>81.8</v>
      </c>
    </row>
    <row r="46" spans="1:22" ht="15.6" x14ac:dyDescent="0.25">
      <c r="A46" s="22" t="s">
        <v>66</v>
      </c>
      <c r="B46" s="20">
        <v>4.999E-3</v>
      </c>
      <c r="C46" s="20">
        <v>6.9969999999999997E-3</v>
      </c>
      <c r="D46" s="20">
        <v>8.9960000000000005E-3</v>
      </c>
      <c r="E46" s="20">
        <v>1.0999E-2</v>
      </c>
      <c r="F46" s="20">
        <v>1.2997E-2</v>
      </c>
      <c r="G46" s="20">
        <v>1.4996000000000001E-2</v>
      </c>
      <c r="H46" s="20">
        <v>1.6999899999999998E-2</v>
      </c>
      <c r="I46" s="20">
        <v>0.82272000000000001</v>
      </c>
      <c r="J46" s="20">
        <v>0.862178</v>
      </c>
      <c r="K46" s="20">
        <v>0.88737999999999995</v>
      </c>
      <c r="L46" s="20">
        <v>0.89443600000000001</v>
      </c>
      <c r="M46" s="20">
        <v>0.88680400000000004</v>
      </c>
      <c r="N46" s="20">
        <v>0.85605799999999999</v>
      </c>
      <c r="O46" s="20">
        <v>0.83164899999999997</v>
      </c>
      <c r="P46" s="20">
        <v>54</v>
      </c>
      <c r="Q46" s="20">
        <v>63</v>
      </c>
      <c r="R46" s="20">
        <v>66.8</v>
      </c>
      <c r="S46" s="20">
        <v>68.3</v>
      </c>
      <c r="T46" s="20">
        <v>65.8</v>
      </c>
      <c r="U46" s="20">
        <v>62</v>
      </c>
      <c r="V46" s="20">
        <v>59.5</v>
      </c>
    </row>
    <row r="47" spans="1:22" ht="15.6" x14ac:dyDescent="0.25">
      <c r="A47" s="22" t="s">
        <v>67</v>
      </c>
      <c r="B47" s="20">
        <v>2.2495999999999999E-2</v>
      </c>
      <c r="C47" s="20">
        <v>2.7597E-2</v>
      </c>
      <c r="D47" s="20">
        <v>3.2599999999999997E-2</v>
      </c>
      <c r="E47" s="20">
        <v>3.7100000000000001E-2</v>
      </c>
      <c r="F47" s="20">
        <v>4.1045999999999999E-2</v>
      </c>
      <c r="G47" s="20">
        <v>4.6599000000000002E-2</v>
      </c>
      <c r="H47" s="20">
        <v>5.1196999999999999E-2</v>
      </c>
      <c r="I47" s="20">
        <v>0.77015699999999998</v>
      </c>
      <c r="J47" s="20">
        <v>0.80918299999999999</v>
      </c>
      <c r="K47" s="20">
        <v>0.82416</v>
      </c>
      <c r="L47" s="20">
        <v>0.82920000000000005</v>
      </c>
      <c r="M47" s="20">
        <v>0.82920000000000005</v>
      </c>
      <c r="N47" s="20">
        <v>0.80918299999999999</v>
      </c>
      <c r="O47" s="20">
        <v>0.78412599999999999</v>
      </c>
      <c r="P47" s="20">
        <v>60</v>
      </c>
      <c r="Q47" s="20">
        <v>64</v>
      </c>
      <c r="R47" s="20">
        <v>65</v>
      </c>
      <c r="S47" s="20">
        <v>65</v>
      </c>
      <c r="T47" s="20">
        <v>64</v>
      </c>
      <c r="U47" s="20">
        <v>63</v>
      </c>
      <c r="V47" s="20">
        <v>60</v>
      </c>
    </row>
    <row r="48" spans="1:22" ht="15.6" x14ac:dyDescent="0.25">
      <c r="A48" s="22" t="s">
        <v>68</v>
      </c>
      <c r="B48" s="20">
        <v>0.11799999999999999</v>
      </c>
      <c r="C48" s="20">
        <v>0.13999700000000001</v>
      </c>
      <c r="D48" s="20">
        <v>0.161999</v>
      </c>
      <c r="E48" s="20">
        <v>0.184</v>
      </c>
      <c r="F48" s="20">
        <v>0.20599899999999999</v>
      </c>
      <c r="G48" s="20">
        <v>0.22800000000000001</v>
      </c>
      <c r="H48" s="20">
        <v>0.25</v>
      </c>
      <c r="I48" s="20">
        <v>0.77951700000000002</v>
      </c>
      <c r="J48" s="20">
        <v>0.81595200000000001</v>
      </c>
      <c r="K48" s="20">
        <v>0.81796800000000003</v>
      </c>
      <c r="L48" s="20">
        <v>0.82113599999999998</v>
      </c>
      <c r="M48" s="20">
        <v>0.79823900000000003</v>
      </c>
      <c r="N48" s="20">
        <v>0.76194799999999996</v>
      </c>
      <c r="O48" s="20">
        <v>0.717306</v>
      </c>
      <c r="P48" s="20">
        <v>77</v>
      </c>
      <c r="Q48" s="20">
        <v>82.4</v>
      </c>
      <c r="R48" s="20">
        <v>84.6</v>
      </c>
      <c r="S48" s="20">
        <v>84</v>
      </c>
      <c r="T48" s="20">
        <v>82.1</v>
      </c>
      <c r="U48" s="20">
        <v>79.599999999999994</v>
      </c>
      <c r="V48" s="20">
        <v>76</v>
      </c>
    </row>
    <row r="49" spans="1:22" ht="15.6" x14ac:dyDescent="0.25">
      <c r="A49" s="22" t="s">
        <v>69</v>
      </c>
      <c r="B49" s="20">
        <v>1.3398E-2</v>
      </c>
      <c r="C49" s="20">
        <v>1.7097000000000001E-2</v>
      </c>
      <c r="D49" s="20">
        <v>2.0799999999999999E-2</v>
      </c>
      <c r="E49" s="20">
        <v>2.4499E-2</v>
      </c>
      <c r="F49" s="20">
        <v>2.8198000000000001E-2</v>
      </c>
      <c r="G49" s="20">
        <v>3.1928999999999999E-2</v>
      </c>
      <c r="H49" s="20">
        <v>3.5628E-2</v>
      </c>
      <c r="I49" s="20">
        <v>0.88500000000000001</v>
      </c>
      <c r="J49" s="20">
        <v>0.90200000000000002</v>
      </c>
      <c r="K49" s="20">
        <v>0.92400000000000004</v>
      </c>
      <c r="L49" s="20">
        <v>0.93300000000000005</v>
      </c>
      <c r="M49" s="20">
        <v>0.92400000000000004</v>
      </c>
      <c r="N49" s="20">
        <v>0.91300000000000003</v>
      </c>
      <c r="O49" s="20">
        <v>0.88500000000000001</v>
      </c>
      <c r="P49" s="20">
        <v>70</v>
      </c>
      <c r="Q49" s="20">
        <v>74</v>
      </c>
      <c r="R49" s="20">
        <v>77</v>
      </c>
      <c r="S49" s="20">
        <v>78</v>
      </c>
      <c r="T49" s="20">
        <v>78</v>
      </c>
      <c r="U49" s="20">
        <v>76</v>
      </c>
      <c r="V49" s="20">
        <v>74</v>
      </c>
    </row>
    <row r="50" spans="1:22" ht="15.6" x14ac:dyDescent="0.25">
      <c r="A50" s="22" t="s">
        <v>70</v>
      </c>
      <c r="B50" s="20">
        <v>2.3199000000000001E-2</v>
      </c>
      <c r="C50" s="20">
        <v>2.6995999999999999E-2</v>
      </c>
      <c r="D50" s="20">
        <v>3.09E-2</v>
      </c>
      <c r="E50" s="20">
        <v>3.4695999999999998E-2</v>
      </c>
      <c r="F50" s="20">
        <v>3.8497999999999998E-2</v>
      </c>
      <c r="G50" s="20">
        <v>4.2499000000000002E-2</v>
      </c>
      <c r="H50" s="20">
        <v>4.6295999999999997E-2</v>
      </c>
      <c r="I50" s="20">
        <v>0.84799999999999998</v>
      </c>
      <c r="J50" s="20">
        <v>0.872</v>
      </c>
      <c r="K50" s="20">
        <v>0.879</v>
      </c>
      <c r="L50" s="20">
        <v>0.876</v>
      </c>
      <c r="M50" s="20">
        <v>0.86299999999999999</v>
      </c>
      <c r="N50" s="20">
        <v>0.83799999999999997</v>
      </c>
      <c r="O50" s="20">
        <v>0.80600000000000005</v>
      </c>
      <c r="P50" s="20">
        <v>69.2</v>
      </c>
      <c r="Q50" s="20">
        <v>72.2</v>
      </c>
      <c r="R50" s="20">
        <v>73.2</v>
      </c>
      <c r="S50" s="20">
        <v>73</v>
      </c>
      <c r="T50" s="20">
        <v>72.2</v>
      </c>
      <c r="U50" s="20">
        <v>71</v>
      </c>
      <c r="V50" s="20">
        <v>68.599999999999994</v>
      </c>
    </row>
    <row r="51" spans="1:22" ht="15.6" x14ac:dyDescent="0.25">
      <c r="A51" s="22" t="s">
        <v>71</v>
      </c>
      <c r="B51" s="20">
        <v>2.9000000000000001E-2</v>
      </c>
      <c r="C51" s="20">
        <v>3.5000000000000003E-2</v>
      </c>
      <c r="D51" s="20">
        <v>4.1000000000000002E-2</v>
      </c>
      <c r="E51" s="20">
        <v>4.7E-2</v>
      </c>
      <c r="F51" s="20">
        <v>5.2999999999999999E-2</v>
      </c>
      <c r="G51" s="20">
        <v>5.6000000000000001E-2</v>
      </c>
      <c r="H51" s="20">
        <v>6.5000000000000002E-2</v>
      </c>
      <c r="I51" s="20">
        <v>0.91500000000000004</v>
      </c>
      <c r="J51" s="20">
        <v>0.93500000000000005</v>
      </c>
      <c r="K51" s="20">
        <v>0.94</v>
      </c>
      <c r="L51" s="20">
        <v>0.93799999999999994</v>
      </c>
      <c r="M51" s="20">
        <v>0.93</v>
      </c>
      <c r="N51" s="20">
        <v>0.91400000000000003</v>
      </c>
      <c r="O51" s="20">
        <v>0.88300000000000001</v>
      </c>
      <c r="P51" s="20">
        <v>69.5</v>
      </c>
      <c r="Q51" s="20">
        <v>73.8</v>
      </c>
      <c r="R51" s="20">
        <v>75.900000000000006</v>
      </c>
      <c r="S51" s="20">
        <v>76.3</v>
      </c>
      <c r="T51" s="20">
        <v>75.900000000000006</v>
      </c>
      <c r="U51" s="20">
        <v>74.8</v>
      </c>
      <c r="V51" s="20">
        <v>72</v>
      </c>
    </row>
    <row r="52" spans="1:22" ht="15.6" x14ac:dyDescent="0.25">
      <c r="A52" s="22" t="s">
        <v>72</v>
      </c>
      <c r="B52" s="20">
        <v>0.03</v>
      </c>
      <c r="C52" s="20">
        <v>3.6999999999999998E-2</v>
      </c>
      <c r="D52" s="20">
        <v>4.3999999999999997E-2</v>
      </c>
      <c r="E52" s="20">
        <v>5.0999999999999997E-2</v>
      </c>
      <c r="F52" s="20">
        <v>5.8000000000000003E-2</v>
      </c>
      <c r="G52" s="20">
        <v>6.5000000000000002E-2</v>
      </c>
      <c r="H52" s="20">
        <v>7.1999999999999995E-2</v>
      </c>
      <c r="I52" s="20">
        <v>0.84504100000000004</v>
      </c>
      <c r="J52" s="20">
        <v>0.85958599999999996</v>
      </c>
      <c r="K52" s="20">
        <v>0.85238599999999998</v>
      </c>
      <c r="L52" s="20">
        <v>0.83049600000000001</v>
      </c>
      <c r="M52" s="20">
        <v>0.79507000000000005</v>
      </c>
      <c r="N52" s="20">
        <v>0.75878000000000001</v>
      </c>
      <c r="O52" s="20">
        <v>0.717306</v>
      </c>
      <c r="P52" s="20">
        <v>76.5</v>
      </c>
      <c r="Q52" s="20">
        <v>80</v>
      </c>
      <c r="R52" s="20">
        <v>81.5</v>
      </c>
      <c r="S52" s="20">
        <v>81</v>
      </c>
      <c r="T52" s="20">
        <v>78.2</v>
      </c>
      <c r="U52" s="20">
        <v>74.5</v>
      </c>
      <c r="V52" s="20">
        <v>70</v>
      </c>
    </row>
    <row r="53" spans="1:22" ht="15.6" x14ac:dyDescent="0.25">
      <c r="A53" s="22" t="s">
        <v>73</v>
      </c>
      <c r="B53" s="20">
        <v>0.08</v>
      </c>
      <c r="C53" s="20">
        <v>0.09</v>
      </c>
      <c r="D53" s="20">
        <v>0.1</v>
      </c>
      <c r="E53" s="20">
        <v>0.11</v>
      </c>
      <c r="F53" s="20">
        <v>0.12</v>
      </c>
      <c r="G53" s="20">
        <v>0.13</v>
      </c>
      <c r="H53" s="20">
        <v>0.14000000000000001</v>
      </c>
      <c r="I53" s="20">
        <v>0.88882000000000005</v>
      </c>
      <c r="J53" s="20">
        <v>0.87629100000000004</v>
      </c>
      <c r="K53" s="20">
        <v>0.85656200000000005</v>
      </c>
      <c r="L53" s="20">
        <v>0.83366499999999999</v>
      </c>
      <c r="M53" s="20">
        <v>0.80443100000000001</v>
      </c>
      <c r="N53" s="20">
        <v>0.76814099999999996</v>
      </c>
      <c r="O53" s="20">
        <v>0.73285900000000004</v>
      </c>
      <c r="P53" s="20">
        <v>80.400000000000006</v>
      </c>
      <c r="Q53" s="20">
        <v>81.2</v>
      </c>
      <c r="R53" s="20">
        <v>80.400000000000006</v>
      </c>
      <c r="S53" s="20">
        <v>78.599999999999994</v>
      </c>
      <c r="T53" s="20">
        <v>76</v>
      </c>
      <c r="U53" s="20">
        <v>73</v>
      </c>
      <c r="V53" s="20">
        <v>70</v>
      </c>
    </row>
    <row r="54" spans="1:22" ht="15.6" x14ac:dyDescent="0.25">
      <c r="A54" s="22" t="s">
        <v>74</v>
      </c>
      <c r="B54" s="20">
        <v>0.08</v>
      </c>
      <c r="C54" s="20">
        <v>8.9996999999999994E-2</v>
      </c>
      <c r="D54" s="20">
        <v>9.9999000000000005E-2</v>
      </c>
      <c r="E54" s="20">
        <v>0.11</v>
      </c>
      <c r="F54" s="20">
        <v>0.11999799999999999</v>
      </c>
      <c r="G54" s="20">
        <v>0.13</v>
      </c>
      <c r="H54" s="20">
        <v>0.13999700000000001</v>
      </c>
      <c r="I54" s="20">
        <v>0.88</v>
      </c>
      <c r="J54" s="20">
        <v>0.878</v>
      </c>
      <c r="K54" s="20">
        <v>0.86699999999999999</v>
      </c>
      <c r="L54" s="20">
        <v>0.85199999999999998</v>
      </c>
      <c r="M54" s="20">
        <v>0.83799999999999997</v>
      </c>
      <c r="N54" s="20">
        <v>0.82</v>
      </c>
      <c r="O54" s="20">
        <v>0.8</v>
      </c>
      <c r="P54" s="20">
        <v>81.5</v>
      </c>
      <c r="Q54" s="20">
        <v>82.6</v>
      </c>
      <c r="R54" s="20">
        <v>82.6</v>
      </c>
      <c r="S54" s="20">
        <v>82</v>
      </c>
      <c r="T54" s="20">
        <v>81.8</v>
      </c>
      <c r="U54" s="20">
        <v>80</v>
      </c>
      <c r="V54" s="20">
        <v>78.3</v>
      </c>
    </row>
    <row r="55" spans="1:22" ht="15.6" x14ac:dyDescent="0.25">
      <c r="A55" s="22" t="s">
        <v>75</v>
      </c>
      <c r="B55" s="20">
        <v>0.08</v>
      </c>
      <c r="C55" s="20">
        <v>8.9996999999999994E-2</v>
      </c>
      <c r="D55" s="20">
        <v>9.9999000000000005E-2</v>
      </c>
      <c r="E55" s="20">
        <v>0.11</v>
      </c>
      <c r="F55" s="20">
        <v>0.11999799999999999</v>
      </c>
      <c r="G55" s="20">
        <v>0.13</v>
      </c>
      <c r="H55" s="20">
        <v>0.13999700000000001</v>
      </c>
      <c r="I55" s="20">
        <v>0.85368200000000005</v>
      </c>
      <c r="J55" s="20">
        <v>0.85180999999999996</v>
      </c>
      <c r="K55" s="20">
        <v>0.84115300000000004</v>
      </c>
      <c r="L55" s="20">
        <v>0.82660800000000001</v>
      </c>
      <c r="M55" s="20">
        <v>0.81292699999999996</v>
      </c>
      <c r="N55" s="20">
        <v>0.79550200000000004</v>
      </c>
      <c r="O55" s="20">
        <v>0.776061</v>
      </c>
      <c r="P55" s="20">
        <v>81.5</v>
      </c>
      <c r="Q55" s="20">
        <v>82.6</v>
      </c>
      <c r="R55" s="20">
        <v>82.6</v>
      </c>
      <c r="S55" s="20">
        <v>82</v>
      </c>
      <c r="T55" s="20">
        <v>81.8</v>
      </c>
      <c r="U55" s="20">
        <v>80</v>
      </c>
      <c r="V55" s="20">
        <v>78.3</v>
      </c>
    </row>
    <row r="56" spans="1:22" ht="15.6" x14ac:dyDescent="0.25">
      <c r="A56" s="22" t="s">
        <v>76</v>
      </c>
      <c r="B56" s="20">
        <v>0.11999799999999999</v>
      </c>
      <c r="C56" s="20">
        <v>0.1399997</v>
      </c>
      <c r="D56" s="20">
        <v>0.1619999</v>
      </c>
      <c r="E56" s="20">
        <v>0.18</v>
      </c>
      <c r="F56" s="20">
        <v>0.2</v>
      </c>
      <c r="G56" s="20">
        <v>0.22</v>
      </c>
      <c r="H56" s="20">
        <v>0.24</v>
      </c>
      <c r="I56" s="20">
        <v>0.86275400000000002</v>
      </c>
      <c r="J56" s="20">
        <v>0.90970099999999998</v>
      </c>
      <c r="K56" s="20">
        <v>0.91488499999999995</v>
      </c>
      <c r="L56" s="20">
        <v>0.90970099999999998</v>
      </c>
      <c r="M56" s="20">
        <v>0.89717199999999997</v>
      </c>
      <c r="N56" s="20">
        <v>0.87845099999999998</v>
      </c>
      <c r="O56" s="20">
        <v>0.84720099999999998</v>
      </c>
      <c r="P56" s="20">
        <v>76</v>
      </c>
      <c r="Q56" s="20">
        <v>82.3</v>
      </c>
      <c r="R56" s="20">
        <v>82.8</v>
      </c>
      <c r="S56" s="20">
        <v>81.5</v>
      </c>
      <c r="T56" s="20">
        <v>79.5</v>
      </c>
      <c r="U56" s="20">
        <v>77.5</v>
      </c>
      <c r="V56" s="20">
        <v>74.5</v>
      </c>
    </row>
    <row r="57" spans="1:22" ht="15.6" x14ac:dyDescent="0.25">
      <c r="A57" s="19" t="s">
        <v>77</v>
      </c>
      <c r="B57" s="20">
        <v>0.25</v>
      </c>
      <c r="C57" s="20">
        <v>0.30299999999999999</v>
      </c>
      <c r="D57" s="20">
        <v>0.35599999999999998</v>
      </c>
      <c r="E57" s="20">
        <v>0.41</v>
      </c>
      <c r="F57" s="20">
        <v>0.46700000000000003</v>
      </c>
      <c r="G57" s="20">
        <v>0.52400000000000002</v>
      </c>
      <c r="H57" s="20">
        <v>0.57999999999999996</v>
      </c>
      <c r="I57" s="20">
        <v>0.89</v>
      </c>
      <c r="J57" s="20">
        <v>0.93500000000000005</v>
      </c>
      <c r="K57" s="20">
        <v>0.97</v>
      </c>
      <c r="L57" s="20">
        <v>0.99</v>
      </c>
      <c r="M57" s="20">
        <v>0.98</v>
      </c>
      <c r="N57" s="20">
        <v>0.95499999999999996</v>
      </c>
      <c r="O57" s="20">
        <v>0.92</v>
      </c>
      <c r="P57" s="20">
        <v>62</v>
      </c>
      <c r="Q57" s="20">
        <v>65</v>
      </c>
      <c r="R57" s="20">
        <v>67</v>
      </c>
      <c r="S57" s="20">
        <v>68</v>
      </c>
      <c r="T57" s="20">
        <v>67</v>
      </c>
      <c r="U57" s="20">
        <v>64.5</v>
      </c>
      <c r="V57" s="20">
        <v>61</v>
      </c>
    </row>
    <row r="58" spans="1:22" ht="15.6" x14ac:dyDescent="0.25">
      <c r="A58" s="21" t="s">
        <v>78</v>
      </c>
      <c r="B58" s="20">
        <v>3.1479E-2</v>
      </c>
      <c r="C58" s="20">
        <v>3.6517000000000001E-2</v>
      </c>
      <c r="D58" s="20">
        <v>4.6591E-2</v>
      </c>
      <c r="E58" s="20">
        <v>5.7924000000000003E-2</v>
      </c>
      <c r="F58" s="20">
        <v>6.7998000000000003E-2</v>
      </c>
      <c r="G58" s="20">
        <v>7.3034000000000002E-2</v>
      </c>
      <c r="H58" s="20">
        <v>8.1848000000000004E-2</v>
      </c>
      <c r="I58" s="20">
        <v>0.64601600000000003</v>
      </c>
      <c r="J58" s="20">
        <v>0.64226799999999995</v>
      </c>
      <c r="K58" s="20">
        <v>0.61713600000000002</v>
      </c>
      <c r="L58" s="20">
        <v>0.56975200000000004</v>
      </c>
      <c r="M58" s="20">
        <v>0.51479299999999995</v>
      </c>
      <c r="N58" s="20">
        <v>0.48469000000000001</v>
      </c>
      <c r="O58" s="20">
        <v>0.42408899999999999</v>
      </c>
      <c r="P58" s="20">
        <v>73.5</v>
      </c>
      <c r="Q58" s="20">
        <v>77.84</v>
      </c>
      <c r="R58" s="20">
        <v>82.41</v>
      </c>
      <c r="S58" s="20">
        <v>83.76</v>
      </c>
      <c r="T58" s="20">
        <v>81.75</v>
      </c>
      <c r="U58" s="20">
        <v>79.75</v>
      </c>
      <c r="V58" s="20">
        <v>75.48</v>
      </c>
    </row>
    <row r="59" spans="1:22" ht="15.6" x14ac:dyDescent="0.25">
      <c r="A59" s="21" t="s">
        <v>79</v>
      </c>
      <c r="B59" s="20">
        <v>6.2942999999999999E-2</v>
      </c>
      <c r="C59" s="20">
        <v>7.3013999999999996E-2</v>
      </c>
      <c r="D59" s="20">
        <v>8.8121000000000005E-2</v>
      </c>
      <c r="E59" s="20">
        <v>0.110781</v>
      </c>
      <c r="F59" s="20">
        <v>0.13092200000000001</v>
      </c>
      <c r="G59" s="20">
        <v>0.14099100000000001</v>
      </c>
      <c r="H59" s="20">
        <v>0.15609300000000001</v>
      </c>
      <c r="I59" s="20">
        <v>0.610823</v>
      </c>
      <c r="J59" s="20">
        <v>0.613348</v>
      </c>
      <c r="K59" s="20">
        <v>0.59894800000000004</v>
      </c>
      <c r="L59" s="20">
        <v>0.54434400000000005</v>
      </c>
      <c r="M59" s="20">
        <v>0.46934199999999998</v>
      </c>
      <c r="N59" s="20">
        <v>0.42353600000000002</v>
      </c>
      <c r="O59" s="20">
        <v>0.34632499999999999</v>
      </c>
      <c r="P59" s="20">
        <v>74.62</v>
      </c>
      <c r="Q59" s="20">
        <v>77.92</v>
      </c>
      <c r="R59" s="20">
        <v>80.989999999999995</v>
      </c>
      <c r="S59" s="20">
        <v>80.03</v>
      </c>
      <c r="T59" s="20">
        <v>73.930000000000007</v>
      </c>
      <c r="U59" s="20">
        <v>69.099999999999994</v>
      </c>
      <c r="V59" s="20">
        <v>59.82</v>
      </c>
    </row>
    <row r="60" spans="1:22" ht="15.6" x14ac:dyDescent="0.25">
      <c r="A60" s="23" t="s">
        <v>80</v>
      </c>
      <c r="B60" s="20">
        <v>0.1545</v>
      </c>
      <c r="C60" s="20">
        <v>0.17449999999999999</v>
      </c>
      <c r="D60" s="20">
        <v>0.19439999999999999</v>
      </c>
      <c r="E60" s="20">
        <v>0.21435599999999999</v>
      </c>
      <c r="F60" s="20">
        <v>0.23430000000000001</v>
      </c>
      <c r="G60" s="20">
        <v>0.25419999999999998</v>
      </c>
      <c r="H60" s="20">
        <v>0.27417999999999998</v>
      </c>
      <c r="I60" s="20">
        <v>0.49199999999999999</v>
      </c>
      <c r="J60" s="20">
        <v>0.48199999999999998</v>
      </c>
      <c r="K60" s="20">
        <v>0.46658699999999997</v>
      </c>
      <c r="L60" s="20">
        <v>0.44400000000000001</v>
      </c>
      <c r="M60" s="20">
        <v>0.41399999999999998</v>
      </c>
      <c r="N60" s="20">
        <v>0.377</v>
      </c>
      <c r="O60" s="20">
        <v>0.334532</v>
      </c>
      <c r="P60" s="20">
        <v>85.8</v>
      </c>
      <c r="Q60" s="20">
        <v>88.7</v>
      </c>
      <c r="R60" s="20">
        <v>90.9</v>
      </c>
      <c r="S60" s="20">
        <v>91.5</v>
      </c>
      <c r="T60" s="20">
        <v>90.4</v>
      </c>
      <c r="U60" s="20">
        <v>88</v>
      </c>
      <c r="V60" s="20">
        <v>84.3</v>
      </c>
    </row>
    <row r="61" spans="1:22" ht="15.6" x14ac:dyDescent="0.25">
      <c r="A61" s="23" t="s">
        <v>81</v>
      </c>
      <c r="B61" s="20">
        <v>7.9916000000000001E-2</v>
      </c>
      <c r="C61" s="20">
        <v>8.9909000000000003E-2</v>
      </c>
      <c r="D61" s="20">
        <v>9.9901000000000004E-2</v>
      </c>
      <c r="E61" s="20">
        <v>0.109899</v>
      </c>
      <c r="F61" s="20">
        <v>0.119877</v>
      </c>
      <c r="G61" s="20">
        <v>0.12987000000000001</v>
      </c>
      <c r="H61" s="20">
        <v>0.13986199999999999</v>
      </c>
      <c r="I61" s="20">
        <v>0.90466100000000005</v>
      </c>
      <c r="J61" s="20">
        <v>0.89126799999999995</v>
      </c>
      <c r="K61" s="20">
        <v>0.871251</v>
      </c>
      <c r="L61" s="20">
        <v>0.84604900000000005</v>
      </c>
      <c r="M61" s="20">
        <v>0.81566399999999994</v>
      </c>
      <c r="N61" s="20">
        <v>0.78081400000000001</v>
      </c>
      <c r="O61" s="20">
        <v>0.74365899999999996</v>
      </c>
      <c r="P61" s="20">
        <v>80.400000000000006</v>
      </c>
      <c r="Q61" s="20">
        <v>81.2</v>
      </c>
      <c r="R61" s="20">
        <v>80.400000000000006</v>
      </c>
      <c r="S61" s="20">
        <v>78.599999999999994</v>
      </c>
      <c r="T61" s="20">
        <v>76</v>
      </c>
      <c r="U61" s="20">
        <v>73</v>
      </c>
      <c r="V61" s="20">
        <v>70</v>
      </c>
    </row>
    <row r="62" spans="1:22" ht="15.6" x14ac:dyDescent="0.25">
      <c r="A62" s="23" t="s">
        <v>82</v>
      </c>
      <c r="B62" s="20">
        <v>0.14199999999999999</v>
      </c>
      <c r="C62" s="20">
        <v>0.16600000000000001</v>
      </c>
      <c r="D62" s="20">
        <v>0.191</v>
      </c>
      <c r="E62" s="20">
        <v>0.215</v>
      </c>
      <c r="F62" s="20">
        <v>0.24</v>
      </c>
      <c r="G62" s="20">
        <v>0.26400000000000001</v>
      </c>
      <c r="H62" s="20">
        <v>0.28000000000000003</v>
      </c>
      <c r="I62" s="20">
        <v>0.46010699999999999</v>
      </c>
      <c r="J62" s="20">
        <v>0.449882</v>
      </c>
      <c r="K62" s="20">
        <v>0.42943300000000001</v>
      </c>
      <c r="L62" s="20">
        <v>0.39890300000000001</v>
      </c>
      <c r="M62" s="20">
        <v>0.35296499999999997</v>
      </c>
      <c r="N62" s="20">
        <v>0.292049</v>
      </c>
      <c r="O62" s="20">
        <v>0.23041300000000001</v>
      </c>
      <c r="P62" s="20">
        <v>78.099999999999994</v>
      </c>
      <c r="Q62" s="20">
        <v>82.6</v>
      </c>
      <c r="R62" s="20">
        <v>85.8</v>
      </c>
      <c r="S62" s="20">
        <v>86.8</v>
      </c>
      <c r="T62" s="20">
        <v>84.5</v>
      </c>
      <c r="U62" s="20">
        <v>78.099999999999994</v>
      </c>
      <c r="V62" s="20">
        <v>76.099999999999994</v>
      </c>
    </row>
    <row r="63" spans="1:22" ht="15.6" x14ac:dyDescent="0.25">
      <c r="A63" s="23" t="s">
        <v>83</v>
      </c>
      <c r="B63" s="20">
        <v>0.12</v>
      </c>
      <c r="C63" s="20">
        <v>0.14000000000000001</v>
      </c>
      <c r="D63" s="20">
        <v>0.16</v>
      </c>
      <c r="E63" s="20">
        <v>0.18</v>
      </c>
      <c r="F63" s="20">
        <v>0.2</v>
      </c>
      <c r="G63" s="20">
        <v>0.22</v>
      </c>
      <c r="H63" s="20">
        <v>0.24</v>
      </c>
      <c r="I63" s="20">
        <v>0.46010699999999999</v>
      </c>
      <c r="J63" s="20">
        <v>0.45002599999999998</v>
      </c>
      <c r="K63" s="20">
        <v>0.43000899999999997</v>
      </c>
      <c r="L63" s="20">
        <v>0.39501500000000001</v>
      </c>
      <c r="M63" s="20">
        <v>0.36002099999999998</v>
      </c>
      <c r="N63" s="20">
        <v>0.32502700000000001</v>
      </c>
      <c r="O63" s="20">
        <v>0.27491199999999999</v>
      </c>
      <c r="P63" s="20">
        <v>77</v>
      </c>
      <c r="Q63" s="20">
        <v>81</v>
      </c>
      <c r="R63" s="20">
        <v>85</v>
      </c>
      <c r="S63" s="20">
        <v>86</v>
      </c>
      <c r="T63" s="20">
        <v>86</v>
      </c>
      <c r="U63" s="20">
        <v>84</v>
      </c>
      <c r="V63" s="20">
        <v>80</v>
      </c>
    </row>
  </sheetData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03"/>
  <sheetViews>
    <sheetView topLeftCell="A4" workbookViewId="0">
      <selection activeCell="L16" sqref="L16"/>
    </sheetView>
  </sheetViews>
  <sheetFormatPr defaultColWidth="10" defaultRowHeight="15.6" x14ac:dyDescent="0.25"/>
  <cols>
    <col min="1" max="1" width="10" style="1"/>
    <col min="2" max="2" width="13.21875" style="1" customWidth="1"/>
    <col min="3" max="9" width="10" style="1"/>
    <col min="10" max="10" width="12.77734375" style="1" customWidth="1"/>
    <col min="11" max="16384" width="10" style="1"/>
  </cols>
  <sheetData>
    <row r="1" spans="1:10" ht="22.2" x14ac:dyDescent="0.25">
      <c r="A1" s="24" t="s">
        <v>84</v>
      </c>
      <c r="B1" s="24"/>
      <c r="C1" s="24"/>
      <c r="D1" s="24"/>
      <c r="E1" s="24"/>
      <c r="F1" s="24"/>
      <c r="G1" s="24"/>
      <c r="H1" s="24"/>
      <c r="I1" s="24"/>
      <c r="J1" s="12" t="s">
        <v>85</v>
      </c>
    </row>
    <row r="2" spans="1:10" ht="46.8" x14ac:dyDescent="0.25">
      <c r="A2" s="2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G2" s="3" t="s">
        <v>92</v>
      </c>
      <c r="H2" s="3" t="s">
        <v>93</v>
      </c>
      <c r="I2" s="3" t="s">
        <v>94</v>
      </c>
      <c r="J2" s="13" t="s">
        <v>95</v>
      </c>
    </row>
    <row r="3" spans="1:10" ht="21" customHeight="1" x14ac:dyDescent="0.25">
      <c r="A3" s="4">
        <v>1</v>
      </c>
      <c r="B3" s="5" t="s">
        <v>96</v>
      </c>
      <c r="C3" s="6">
        <v>0.75</v>
      </c>
      <c r="D3" s="6">
        <v>1</v>
      </c>
      <c r="E3" s="6">
        <v>1.8</v>
      </c>
      <c r="F3" s="6">
        <v>2825</v>
      </c>
      <c r="G3" s="6">
        <v>75</v>
      </c>
      <c r="H3" s="6">
        <v>0.84</v>
      </c>
      <c r="I3" s="14">
        <v>17</v>
      </c>
      <c r="J3" s="15">
        <f t="shared" ref="J3:J66" si="0">9550*C3/F3</f>
        <v>2.5353982300885001</v>
      </c>
    </row>
    <row r="4" spans="1:10" ht="21" customHeight="1" x14ac:dyDescent="0.25">
      <c r="A4" s="7">
        <v>2</v>
      </c>
      <c r="B4" s="2" t="s">
        <v>97</v>
      </c>
      <c r="C4" s="8">
        <v>1.1000000000000001</v>
      </c>
      <c r="D4" s="8">
        <v>1.5</v>
      </c>
      <c r="E4" s="8">
        <v>2.5</v>
      </c>
      <c r="F4" s="8">
        <v>2825</v>
      </c>
      <c r="G4" s="8">
        <v>77</v>
      </c>
      <c r="H4" s="8">
        <v>0.86</v>
      </c>
      <c r="I4" s="16">
        <v>18</v>
      </c>
      <c r="J4" s="15">
        <f t="shared" si="0"/>
        <v>3.7185840707964601</v>
      </c>
    </row>
    <row r="5" spans="1:10" ht="21" customHeight="1" x14ac:dyDescent="0.25">
      <c r="A5" s="7">
        <v>3</v>
      </c>
      <c r="B5" s="2" t="s">
        <v>98</v>
      </c>
      <c r="C5" s="8">
        <v>1.5</v>
      </c>
      <c r="D5" s="8">
        <v>2</v>
      </c>
      <c r="E5" s="8">
        <v>3.4</v>
      </c>
      <c r="F5" s="8">
        <v>2840</v>
      </c>
      <c r="G5" s="8">
        <v>78</v>
      </c>
      <c r="H5" s="8">
        <v>0.85</v>
      </c>
      <c r="I5" s="16">
        <v>22</v>
      </c>
      <c r="J5" s="15">
        <f t="shared" si="0"/>
        <v>5.0440140845070403</v>
      </c>
    </row>
    <row r="6" spans="1:10" ht="21" customHeight="1" x14ac:dyDescent="0.25">
      <c r="A6" s="7">
        <v>4</v>
      </c>
      <c r="B6" s="2" t="s">
        <v>99</v>
      </c>
      <c r="C6" s="8">
        <v>2.2000000000000002</v>
      </c>
      <c r="D6" s="8">
        <v>3</v>
      </c>
      <c r="E6" s="8">
        <v>4.8</v>
      </c>
      <c r="F6" s="8">
        <v>2840</v>
      </c>
      <c r="G6" s="8">
        <v>80.5</v>
      </c>
      <c r="H6" s="8">
        <v>0.86</v>
      </c>
      <c r="I6" s="16">
        <v>27</v>
      </c>
      <c r="J6" s="15">
        <f t="shared" si="0"/>
        <v>7.3978873239436602</v>
      </c>
    </row>
    <row r="7" spans="1:10" ht="21" customHeight="1" x14ac:dyDescent="0.25">
      <c r="A7" s="7">
        <v>5</v>
      </c>
      <c r="B7" s="2" t="s">
        <v>100</v>
      </c>
      <c r="C7" s="8">
        <v>3</v>
      </c>
      <c r="D7" s="8">
        <v>4</v>
      </c>
      <c r="E7" s="8">
        <v>6.4</v>
      </c>
      <c r="F7" s="8">
        <v>2880</v>
      </c>
      <c r="G7" s="8">
        <v>82</v>
      </c>
      <c r="H7" s="8">
        <v>0.87</v>
      </c>
      <c r="I7" s="16">
        <v>37</v>
      </c>
      <c r="J7" s="15">
        <f t="shared" si="0"/>
        <v>9.9479166666666696</v>
      </c>
    </row>
    <row r="8" spans="1:10" ht="21" customHeight="1" x14ac:dyDescent="0.25">
      <c r="A8" s="7">
        <v>6</v>
      </c>
      <c r="B8" s="2" t="s">
        <v>101</v>
      </c>
      <c r="C8" s="8">
        <v>4</v>
      </c>
      <c r="D8" s="8">
        <v>5.5</v>
      </c>
      <c r="E8" s="8">
        <v>8.1999999999999993</v>
      </c>
      <c r="F8" s="8">
        <v>2890</v>
      </c>
      <c r="G8" s="8">
        <v>85.5</v>
      </c>
      <c r="H8" s="8">
        <v>0.87</v>
      </c>
      <c r="I8" s="16">
        <v>46</v>
      </c>
      <c r="J8" s="15">
        <f t="shared" si="0"/>
        <v>13.217993079584801</v>
      </c>
    </row>
    <row r="9" spans="1:10" ht="21" customHeight="1" x14ac:dyDescent="0.25">
      <c r="A9" s="7">
        <v>7</v>
      </c>
      <c r="B9" s="2" t="s">
        <v>102</v>
      </c>
      <c r="C9" s="8">
        <v>5.5</v>
      </c>
      <c r="D9" s="8">
        <v>7.5</v>
      </c>
      <c r="E9" s="8">
        <v>11</v>
      </c>
      <c r="F9" s="8">
        <v>2900</v>
      </c>
      <c r="G9" s="8">
        <v>85.5</v>
      </c>
      <c r="H9" s="8">
        <v>0.88</v>
      </c>
      <c r="I9" s="16">
        <v>68</v>
      </c>
      <c r="J9" s="15">
        <f t="shared" si="0"/>
        <v>18.112068965517199</v>
      </c>
    </row>
    <row r="10" spans="1:10" ht="21" customHeight="1" x14ac:dyDescent="0.25">
      <c r="A10" s="7">
        <v>8</v>
      </c>
      <c r="B10" s="2" t="s">
        <v>103</v>
      </c>
      <c r="C10" s="8">
        <v>7.5</v>
      </c>
      <c r="D10" s="8">
        <v>10</v>
      </c>
      <c r="E10" s="8">
        <v>15</v>
      </c>
      <c r="F10" s="8">
        <v>2900</v>
      </c>
      <c r="G10" s="8">
        <v>86.2</v>
      </c>
      <c r="H10" s="8">
        <v>0.88</v>
      </c>
      <c r="I10" s="16">
        <v>74</v>
      </c>
      <c r="J10" s="15">
        <f t="shared" si="0"/>
        <v>24.698275862069</v>
      </c>
    </row>
    <row r="11" spans="1:10" ht="21" customHeight="1" x14ac:dyDescent="0.25">
      <c r="A11" s="7">
        <v>9</v>
      </c>
      <c r="B11" s="2" t="s">
        <v>104</v>
      </c>
      <c r="C11" s="8">
        <v>11</v>
      </c>
      <c r="D11" s="8">
        <v>15</v>
      </c>
      <c r="E11" s="8">
        <v>21.8</v>
      </c>
      <c r="F11" s="8">
        <v>2930</v>
      </c>
      <c r="G11" s="8">
        <v>87.2</v>
      </c>
      <c r="H11" s="8">
        <v>0.88</v>
      </c>
      <c r="I11" s="16">
        <v>116</v>
      </c>
      <c r="J11" s="15">
        <f t="shared" si="0"/>
        <v>35.853242320819099</v>
      </c>
    </row>
    <row r="12" spans="1:10" ht="21" customHeight="1" x14ac:dyDescent="0.25">
      <c r="A12" s="7">
        <v>10</v>
      </c>
      <c r="B12" s="2" t="s">
        <v>105</v>
      </c>
      <c r="C12" s="8">
        <v>15</v>
      </c>
      <c r="D12" s="8">
        <v>20</v>
      </c>
      <c r="E12" s="8">
        <v>29.3</v>
      </c>
      <c r="F12" s="8">
        <v>2930</v>
      </c>
      <c r="G12" s="8">
        <v>88.2</v>
      </c>
      <c r="H12" s="8">
        <v>0.88</v>
      </c>
      <c r="I12" s="16">
        <v>132</v>
      </c>
      <c r="J12" s="15">
        <f t="shared" si="0"/>
        <v>48.890784982935202</v>
      </c>
    </row>
    <row r="13" spans="1:10" ht="21" customHeight="1" x14ac:dyDescent="0.25">
      <c r="A13" s="7">
        <v>11</v>
      </c>
      <c r="B13" s="2" t="s">
        <v>106</v>
      </c>
      <c r="C13" s="8">
        <v>18.5</v>
      </c>
      <c r="D13" s="8">
        <v>25</v>
      </c>
      <c r="E13" s="8">
        <v>35.5</v>
      </c>
      <c r="F13" s="8">
        <v>2930</v>
      </c>
      <c r="G13" s="8">
        <v>89</v>
      </c>
      <c r="H13" s="8">
        <v>0.89</v>
      </c>
      <c r="I13" s="16">
        <v>151</v>
      </c>
      <c r="J13" s="15">
        <f t="shared" si="0"/>
        <v>60.2986348122867</v>
      </c>
    </row>
    <row r="14" spans="1:10" ht="21" customHeight="1" x14ac:dyDescent="0.25">
      <c r="A14" s="7">
        <v>12</v>
      </c>
      <c r="B14" s="2" t="s">
        <v>107</v>
      </c>
      <c r="C14" s="8">
        <v>22</v>
      </c>
      <c r="D14" s="8">
        <v>30</v>
      </c>
      <c r="E14" s="8">
        <v>42.2</v>
      </c>
      <c r="F14" s="8">
        <v>2940</v>
      </c>
      <c r="G14" s="8">
        <v>89</v>
      </c>
      <c r="H14" s="8">
        <v>0.89</v>
      </c>
      <c r="I14" s="16">
        <v>172</v>
      </c>
      <c r="J14" s="15">
        <f t="shared" si="0"/>
        <v>71.4625850340136</v>
      </c>
    </row>
    <row r="15" spans="1:10" ht="21" customHeight="1" x14ac:dyDescent="0.25">
      <c r="A15" s="7">
        <v>13</v>
      </c>
      <c r="B15" s="2" t="s">
        <v>108</v>
      </c>
      <c r="C15" s="8">
        <v>30</v>
      </c>
      <c r="D15" s="8">
        <v>40</v>
      </c>
      <c r="E15" s="8">
        <v>56.9</v>
      </c>
      <c r="F15" s="8">
        <v>2950</v>
      </c>
      <c r="G15" s="8">
        <v>90</v>
      </c>
      <c r="H15" s="8">
        <v>0.89</v>
      </c>
      <c r="I15" s="16">
        <v>240</v>
      </c>
      <c r="J15" s="15">
        <f t="shared" si="0"/>
        <v>97.118644067796595</v>
      </c>
    </row>
    <row r="16" spans="1:10" ht="21" customHeight="1" x14ac:dyDescent="0.25">
      <c r="A16" s="7">
        <v>14</v>
      </c>
      <c r="B16" s="2" t="s">
        <v>109</v>
      </c>
      <c r="C16" s="8">
        <v>37</v>
      </c>
      <c r="D16" s="8">
        <v>50</v>
      </c>
      <c r="E16" s="8">
        <v>69.8</v>
      </c>
      <c r="F16" s="8">
        <v>2950</v>
      </c>
      <c r="G16" s="8">
        <v>90.5</v>
      </c>
      <c r="H16" s="8">
        <v>0.89</v>
      </c>
      <c r="I16" s="16">
        <v>260</v>
      </c>
      <c r="J16" s="15">
        <f t="shared" si="0"/>
        <v>119.77966101694901</v>
      </c>
    </row>
    <row r="17" spans="1:10" ht="21" customHeight="1" x14ac:dyDescent="0.25">
      <c r="A17" s="7">
        <v>15</v>
      </c>
      <c r="B17" s="2" t="s">
        <v>110</v>
      </c>
      <c r="C17" s="8">
        <v>45</v>
      </c>
      <c r="D17" s="8">
        <v>61</v>
      </c>
      <c r="E17" s="8">
        <v>84</v>
      </c>
      <c r="F17" s="8">
        <v>2970</v>
      </c>
      <c r="G17" s="8">
        <v>91.5</v>
      </c>
      <c r="H17" s="8">
        <v>0.89</v>
      </c>
      <c r="I17" s="16">
        <v>310</v>
      </c>
      <c r="J17" s="15">
        <f t="shared" si="0"/>
        <v>144.69696969697</v>
      </c>
    </row>
    <row r="18" spans="1:10" ht="21" customHeight="1" x14ac:dyDescent="0.25">
      <c r="A18" s="7">
        <v>16</v>
      </c>
      <c r="B18" s="2" t="s">
        <v>111</v>
      </c>
      <c r="C18" s="8">
        <v>55</v>
      </c>
      <c r="D18" s="8">
        <v>75</v>
      </c>
      <c r="E18" s="8">
        <v>102.6</v>
      </c>
      <c r="F18" s="8">
        <v>2970</v>
      </c>
      <c r="G18" s="8">
        <v>91.5</v>
      </c>
      <c r="H18" s="8">
        <v>0.89</v>
      </c>
      <c r="I18" s="16">
        <v>400</v>
      </c>
      <c r="J18" s="15">
        <f t="shared" si="0"/>
        <v>176.85185185185199</v>
      </c>
    </row>
    <row r="19" spans="1:10" ht="21" customHeight="1" x14ac:dyDescent="0.25">
      <c r="A19" s="7">
        <v>17</v>
      </c>
      <c r="B19" s="2" t="s">
        <v>112</v>
      </c>
      <c r="C19" s="8">
        <v>75</v>
      </c>
      <c r="D19" s="8">
        <v>102</v>
      </c>
      <c r="E19" s="8">
        <v>139.19999999999999</v>
      </c>
      <c r="F19" s="8">
        <v>2970</v>
      </c>
      <c r="G19" s="8">
        <v>92</v>
      </c>
      <c r="H19" s="8">
        <v>0.89</v>
      </c>
      <c r="I19" s="16">
        <v>544</v>
      </c>
      <c r="J19" s="15">
        <f t="shared" si="0"/>
        <v>241.161616161616</v>
      </c>
    </row>
    <row r="20" spans="1:10" ht="21" customHeight="1" x14ac:dyDescent="0.25">
      <c r="A20" s="7">
        <v>18</v>
      </c>
      <c r="B20" s="2" t="s">
        <v>113</v>
      </c>
      <c r="C20" s="8">
        <v>90</v>
      </c>
      <c r="D20" s="8">
        <v>122.5</v>
      </c>
      <c r="E20" s="8">
        <v>166.1</v>
      </c>
      <c r="F20" s="8">
        <v>2970</v>
      </c>
      <c r="G20" s="8">
        <v>92.5</v>
      </c>
      <c r="H20" s="8">
        <v>0.89</v>
      </c>
      <c r="I20" s="16">
        <v>620</v>
      </c>
      <c r="J20" s="15">
        <f t="shared" si="0"/>
        <v>289.39393939393898</v>
      </c>
    </row>
    <row r="21" spans="1:10" ht="21" customHeight="1" x14ac:dyDescent="0.25">
      <c r="A21" s="7">
        <v>19</v>
      </c>
      <c r="B21" s="2" t="s">
        <v>114</v>
      </c>
      <c r="C21" s="8">
        <v>110</v>
      </c>
      <c r="D21" s="8">
        <v>150</v>
      </c>
      <c r="E21" s="8">
        <v>2.2999999999999998</v>
      </c>
      <c r="F21" s="8">
        <v>2980</v>
      </c>
      <c r="G21" s="8">
        <v>92.5</v>
      </c>
      <c r="H21" s="8">
        <v>0.89</v>
      </c>
      <c r="I21" s="16">
        <v>980</v>
      </c>
      <c r="J21" s="15">
        <f t="shared" si="0"/>
        <v>352.51677852349002</v>
      </c>
    </row>
    <row r="22" spans="1:10" ht="21" customHeight="1" x14ac:dyDescent="0.25">
      <c r="A22" s="7">
        <v>20</v>
      </c>
      <c r="B22" s="2" t="s">
        <v>115</v>
      </c>
      <c r="C22" s="8">
        <v>132</v>
      </c>
      <c r="D22" s="8">
        <v>180</v>
      </c>
      <c r="E22" s="8">
        <v>242.3</v>
      </c>
      <c r="F22" s="8">
        <v>2980</v>
      </c>
      <c r="G22" s="8">
        <v>93</v>
      </c>
      <c r="H22" s="8">
        <v>0.89</v>
      </c>
      <c r="I22" s="16">
        <v>1080</v>
      </c>
      <c r="J22" s="15">
        <f t="shared" si="0"/>
        <v>423.020134228188</v>
      </c>
    </row>
    <row r="23" spans="1:10" ht="21" customHeight="1" x14ac:dyDescent="0.25">
      <c r="A23" s="7">
        <v>21</v>
      </c>
      <c r="B23" s="2" t="s">
        <v>116</v>
      </c>
      <c r="C23" s="8">
        <v>160</v>
      </c>
      <c r="D23" s="8">
        <v>218</v>
      </c>
      <c r="E23" s="8">
        <v>292</v>
      </c>
      <c r="F23" s="8">
        <v>2980</v>
      </c>
      <c r="G23" s="8">
        <v>93.5</v>
      </c>
      <c r="H23" s="8">
        <v>0.89</v>
      </c>
      <c r="I23" s="16">
        <v>1160</v>
      </c>
      <c r="J23" s="15">
        <f t="shared" si="0"/>
        <v>512.75167785234896</v>
      </c>
    </row>
    <row r="24" spans="1:10" ht="21" customHeight="1" x14ac:dyDescent="0.25">
      <c r="A24" s="7">
        <v>22</v>
      </c>
      <c r="B24" s="2" t="s">
        <v>117</v>
      </c>
      <c r="C24" s="8">
        <v>200</v>
      </c>
      <c r="D24" s="8">
        <v>272</v>
      </c>
      <c r="E24" s="8">
        <v>365.2</v>
      </c>
      <c r="F24" s="8">
        <v>2980</v>
      </c>
      <c r="G24" s="8">
        <v>93.5</v>
      </c>
      <c r="H24" s="8">
        <v>0.89</v>
      </c>
      <c r="I24" s="16">
        <v>1190</v>
      </c>
      <c r="J24" s="15">
        <f t="shared" si="0"/>
        <v>640.939597315436</v>
      </c>
    </row>
    <row r="25" spans="1:10" ht="21" customHeight="1" x14ac:dyDescent="0.25">
      <c r="A25" s="7">
        <v>23</v>
      </c>
      <c r="B25" s="2" t="s">
        <v>118</v>
      </c>
      <c r="C25" s="8">
        <v>220</v>
      </c>
      <c r="D25" s="8">
        <v>299</v>
      </c>
      <c r="E25" s="8">
        <v>396.7</v>
      </c>
      <c r="F25" s="8">
        <v>2981</v>
      </c>
      <c r="G25" s="8">
        <v>94.2</v>
      </c>
      <c r="H25" s="8">
        <v>0.89</v>
      </c>
      <c r="I25" s="16">
        <v>1750</v>
      </c>
      <c r="J25" s="15">
        <f t="shared" si="0"/>
        <v>704.79704797047998</v>
      </c>
    </row>
    <row r="26" spans="1:10" ht="21" customHeight="1" x14ac:dyDescent="0.25">
      <c r="A26" s="7">
        <v>24</v>
      </c>
      <c r="B26" s="2" t="s">
        <v>119</v>
      </c>
      <c r="C26" s="8">
        <v>250</v>
      </c>
      <c r="D26" s="8">
        <v>340</v>
      </c>
      <c r="E26" s="8">
        <v>446.6</v>
      </c>
      <c r="F26" s="8">
        <v>2981</v>
      </c>
      <c r="G26" s="8">
        <v>94.5</v>
      </c>
      <c r="H26" s="8">
        <v>0.9</v>
      </c>
      <c r="I26" s="16">
        <v>1770</v>
      </c>
      <c r="J26" s="15">
        <f t="shared" si="0"/>
        <v>800.90573633009103</v>
      </c>
    </row>
    <row r="27" spans="1:10" ht="21" customHeight="1" x14ac:dyDescent="0.25">
      <c r="A27" s="7">
        <v>25</v>
      </c>
      <c r="B27" s="2" t="s">
        <v>120</v>
      </c>
      <c r="C27" s="8">
        <v>280</v>
      </c>
      <c r="D27" s="8">
        <v>381</v>
      </c>
      <c r="E27" s="8">
        <v>499.2</v>
      </c>
      <c r="F27" s="8">
        <v>2981</v>
      </c>
      <c r="G27" s="8">
        <v>94.7</v>
      </c>
      <c r="H27" s="8">
        <v>0.9</v>
      </c>
      <c r="I27" s="16">
        <v>1830</v>
      </c>
      <c r="J27" s="15">
        <f t="shared" si="0"/>
        <v>897.01442468970095</v>
      </c>
    </row>
    <row r="28" spans="1:10" ht="21" customHeight="1" x14ac:dyDescent="0.25">
      <c r="A28" s="9">
        <v>26</v>
      </c>
      <c r="B28" s="10" t="s">
        <v>121</v>
      </c>
      <c r="C28" s="11">
        <v>315</v>
      </c>
      <c r="D28" s="11">
        <v>429</v>
      </c>
      <c r="E28" s="11">
        <v>559.79999999999995</v>
      </c>
      <c r="F28" s="11">
        <v>2981</v>
      </c>
      <c r="G28" s="11">
        <v>95</v>
      </c>
      <c r="H28" s="11">
        <v>0.9</v>
      </c>
      <c r="I28" s="17">
        <v>1900</v>
      </c>
      <c r="J28" s="15">
        <f t="shared" si="0"/>
        <v>1009.14122777591</v>
      </c>
    </row>
    <row r="29" spans="1:10" ht="21" customHeight="1" x14ac:dyDescent="0.25">
      <c r="A29" s="4">
        <v>27</v>
      </c>
      <c r="B29" s="5" t="s">
        <v>122</v>
      </c>
      <c r="C29" s="6">
        <v>0.55000000000000004</v>
      </c>
      <c r="D29" s="6">
        <v>0.75</v>
      </c>
      <c r="E29" s="6">
        <v>1.5</v>
      </c>
      <c r="F29" s="6">
        <v>1390</v>
      </c>
      <c r="G29" s="6">
        <v>73</v>
      </c>
      <c r="H29" s="6">
        <v>0.76</v>
      </c>
      <c r="I29" s="14">
        <v>17</v>
      </c>
      <c r="J29" s="15">
        <f t="shared" si="0"/>
        <v>3.77877697841727</v>
      </c>
    </row>
    <row r="30" spans="1:10" ht="21" customHeight="1" x14ac:dyDescent="0.25">
      <c r="A30" s="7">
        <v>28</v>
      </c>
      <c r="B30" s="2" t="s">
        <v>123</v>
      </c>
      <c r="C30" s="8">
        <v>0.75</v>
      </c>
      <c r="D30" s="8">
        <v>1</v>
      </c>
      <c r="E30" s="8">
        <v>2</v>
      </c>
      <c r="F30" s="8">
        <v>1390</v>
      </c>
      <c r="G30" s="8">
        <v>74.5</v>
      </c>
      <c r="H30" s="8">
        <v>0.76</v>
      </c>
      <c r="I30" s="16">
        <v>18</v>
      </c>
      <c r="J30" s="15">
        <f t="shared" si="0"/>
        <v>5.1528776978417303</v>
      </c>
    </row>
    <row r="31" spans="1:10" ht="21" customHeight="1" x14ac:dyDescent="0.25">
      <c r="A31" s="7">
        <v>29</v>
      </c>
      <c r="B31" s="2" t="s">
        <v>124</v>
      </c>
      <c r="C31" s="8">
        <v>1.1000000000000001</v>
      </c>
      <c r="D31" s="8">
        <v>1.5</v>
      </c>
      <c r="E31" s="8">
        <v>2.7</v>
      </c>
      <c r="F31" s="8">
        <v>1400</v>
      </c>
      <c r="G31" s="8">
        <v>78</v>
      </c>
      <c r="H31" s="8">
        <v>0.78</v>
      </c>
      <c r="I31" s="16">
        <v>23</v>
      </c>
      <c r="J31" s="15">
        <f t="shared" si="0"/>
        <v>7.5035714285714299</v>
      </c>
    </row>
    <row r="32" spans="1:10" ht="21" customHeight="1" x14ac:dyDescent="0.25">
      <c r="A32" s="7">
        <v>30</v>
      </c>
      <c r="B32" s="2" t="s">
        <v>125</v>
      </c>
      <c r="C32" s="8">
        <v>1.5</v>
      </c>
      <c r="D32" s="8">
        <v>2</v>
      </c>
      <c r="E32" s="8">
        <v>3.7</v>
      </c>
      <c r="F32" s="8">
        <v>1400</v>
      </c>
      <c r="G32" s="8">
        <v>79</v>
      </c>
      <c r="H32" s="8">
        <v>0.79</v>
      </c>
      <c r="I32" s="16">
        <v>27</v>
      </c>
      <c r="J32" s="15">
        <f t="shared" si="0"/>
        <v>10.2321428571429</v>
      </c>
    </row>
    <row r="33" spans="1:10" ht="21" customHeight="1" x14ac:dyDescent="0.25">
      <c r="A33" s="7">
        <v>31</v>
      </c>
      <c r="B33" s="2" t="s">
        <v>126</v>
      </c>
      <c r="C33" s="8">
        <v>2.2000000000000002</v>
      </c>
      <c r="D33" s="8">
        <v>3</v>
      </c>
      <c r="E33" s="8">
        <v>5</v>
      </c>
      <c r="F33" s="8">
        <v>1420</v>
      </c>
      <c r="G33" s="8">
        <v>81</v>
      </c>
      <c r="H33" s="8">
        <v>0.82</v>
      </c>
      <c r="I33" s="16">
        <v>36</v>
      </c>
      <c r="J33" s="15">
        <f t="shared" si="0"/>
        <v>14.795774647887299</v>
      </c>
    </row>
    <row r="34" spans="1:10" ht="21" customHeight="1" x14ac:dyDescent="0.25">
      <c r="A34" s="7">
        <v>32</v>
      </c>
      <c r="B34" s="2" t="s">
        <v>127</v>
      </c>
      <c r="C34" s="8">
        <v>3</v>
      </c>
      <c r="D34" s="8">
        <v>4</v>
      </c>
      <c r="E34" s="8">
        <v>6.8</v>
      </c>
      <c r="F34" s="8">
        <v>1420</v>
      </c>
      <c r="G34" s="8">
        <v>82.5</v>
      </c>
      <c r="H34" s="8">
        <v>0.81</v>
      </c>
      <c r="I34" s="16">
        <v>40</v>
      </c>
      <c r="J34" s="15">
        <f t="shared" si="0"/>
        <v>20.1760563380282</v>
      </c>
    </row>
    <row r="35" spans="1:10" ht="21" customHeight="1" x14ac:dyDescent="0.25">
      <c r="A35" s="7">
        <v>33</v>
      </c>
      <c r="B35" s="2" t="s">
        <v>128</v>
      </c>
      <c r="C35" s="8">
        <v>4</v>
      </c>
      <c r="D35" s="8">
        <v>5.5</v>
      </c>
      <c r="E35" s="8">
        <v>8.8000000000000007</v>
      </c>
      <c r="F35" s="8">
        <v>1440</v>
      </c>
      <c r="G35" s="8">
        <v>84.5</v>
      </c>
      <c r="H35" s="8">
        <v>0.82</v>
      </c>
      <c r="I35" s="16">
        <v>50</v>
      </c>
      <c r="J35" s="15">
        <f t="shared" si="0"/>
        <v>26.5277777777778</v>
      </c>
    </row>
    <row r="36" spans="1:10" ht="21" customHeight="1" x14ac:dyDescent="0.25">
      <c r="A36" s="7">
        <v>34</v>
      </c>
      <c r="B36" s="2" t="s">
        <v>129</v>
      </c>
      <c r="C36" s="8">
        <v>5.5</v>
      </c>
      <c r="D36" s="8">
        <v>7.5</v>
      </c>
      <c r="E36" s="8">
        <v>11.6</v>
      </c>
      <c r="F36" s="8">
        <v>1440</v>
      </c>
      <c r="G36" s="8">
        <v>85.5</v>
      </c>
      <c r="H36" s="8">
        <v>0.84</v>
      </c>
      <c r="I36" s="16">
        <v>70</v>
      </c>
      <c r="J36" s="15">
        <f t="shared" si="0"/>
        <v>36.4756944444444</v>
      </c>
    </row>
    <row r="37" spans="1:10" ht="21" customHeight="1" x14ac:dyDescent="0.25">
      <c r="A37" s="7">
        <v>35</v>
      </c>
      <c r="B37" s="2" t="s">
        <v>130</v>
      </c>
      <c r="C37" s="8">
        <v>7.5</v>
      </c>
      <c r="D37" s="8">
        <v>10</v>
      </c>
      <c r="E37" s="8">
        <v>15.4</v>
      </c>
      <c r="F37" s="8">
        <v>1440</v>
      </c>
      <c r="G37" s="8">
        <v>87</v>
      </c>
      <c r="H37" s="8">
        <v>0.85</v>
      </c>
      <c r="I37" s="16">
        <v>86</v>
      </c>
      <c r="J37" s="15">
        <f t="shared" si="0"/>
        <v>49.7395833333333</v>
      </c>
    </row>
    <row r="38" spans="1:10" ht="21" customHeight="1" x14ac:dyDescent="0.25">
      <c r="A38" s="7">
        <v>36</v>
      </c>
      <c r="B38" s="2" t="s">
        <v>131</v>
      </c>
      <c r="C38" s="8">
        <v>11</v>
      </c>
      <c r="D38" s="8">
        <v>15</v>
      </c>
      <c r="E38" s="8">
        <v>22.6</v>
      </c>
      <c r="F38" s="8">
        <v>1460</v>
      </c>
      <c r="G38" s="8">
        <v>88</v>
      </c>
      <c r="H38" s="8">
        <v>0.84</v>
      </c>
      <c r="I38" s="16">
        <v>126</v>
      </c>
      <c r="J38" s="15">
        <f t="shared" si="0"/>
        <v>71.952054794520507</v>
      </c>
    </row>
    <row r="39" spans="1:10" ht="21" customHeight="1" x14ac:dyDescent="0.25">
      <c r="A39" s="7">
        <v>37</v>
      </c>
      <c r="B39" s="2" t="s">
        <v>132</v>
      </c>
      <c r="C39" s="8">
        <v>15</v>
      </c>
      <c r="D39" s="8">
        <v>20</v>
      </c>
      <c r="E39" s="8">
        <v>30.3</v>
      </c>
      <c r="F39" s="8">
        <v>1460</v>
      </c>
      <c r="G39" s="8">
        <v>88.5</v>
      </c>
      <c r="H39" s="8">
        <v>0.85</v>
      </c>
      <c r="I39" s="16">
        <v>146</v>
      </c>
      <c r="J39" s="15">
        <f t="shared" si="0"/>
        <v>98.116438356164394</v>
      </c>
    </row>
    <row r="40" spans="1:10" ht="21" customHeight="1" x14ac:dyDescent="0.25">
      <c r="A40" s="7">
        <v>38</v>
      </c>
      <c r="B40" s="2" t="s">
        <v>133</v>
      </c>
      <c r="C40" s="8">
        <v>18.5</v>
      </c>
      <c r="D40" s="8">
        <v>25</v>
      </c>
      <c r="E40" s="8">
        <v>35.9</v>
      </c>
      <c r="F40" s="8">
        <v>1470</v>
      </c>
      <c r="G40" s="8">
        <v>91</v>
      </c>
      <c r="H40" s="8">
        <v>0.86</v>
      </c>
      <c r="I40" s="16">
        <v>172</v>
      </c>
      <c r="J40" s="15">
        <f t="shared" si="0"/>
        <v>120.187074829932</v>
      </c>
    </row>
    <row r="41" spans="1:10" ht="21" customHeight="1" x14ac:dyDescent="0.25">
      <c r="A41" s="7">
        <v>39</v>
      </c>
      <c r="B41" s="2" t="s">
        <v>134</v>
      </c>
      <c r="C41" s="8">
        <v>22</v>
      </c>
      <c r="D41" s="8">
        <v>30</v>
      </c>
      <c r="E41" s="8">
        <v>42.5</v>
      </c>
      <c r="F41" s="8">
        <v>1470</v>
      </c>
      <c r="G41" s="8">
        <v>91.5</v>
      </c>
      <c r="H41" s="8">
        <v>0.86</v>
      </c>
      <c r="I41" s="16">
        <v>196</v>
      </c>
      <c r="J41" s="15">
        <f t="shared" si="0"/>
        <v>142.925170068027</v>
      </c>
    </row>
    <row r="42" spans="1:10" ht="21" customHeight="1" x14ac:dyDescent="0.25">
      <c r="A42" s="7">
        <v>40</v>
      </c>
      <c r="B42" s="2" t="s">
        <v>135</v>
      </c>
      <c r="C42" s="8">
        <v>30</v>
      </c>
      <c r="D42" s="8">
        <v>40</v>
      </c>
      <c r="E42" s="8">
        <v>56.8</v>
      </c>
      <c r="F42" s="8">
        <v>1470</v>
      </c>
      <c r="G42" s="8">
        <v>92.2</v>
      </c>
      <c r="H42" s="8">
        <v>0.87</v>
      </c>
      <c r="I42" s="16">
        <v>270</v>
      </c>
      <c r="J42" s="15">
        <f t="shared" si="0"/>
        <v>194.89795918367301</v>
      </c>
    </row>
    <row r="43" spans="1:10" ht="21" customHeight="1" x14ac:dyDescent="0.25">
      <c r="A43" s="7">
        <v>41</v>
      </c>
      <c r="B43" s="2" t="s">
        <v>136</v>
      </c>
      <c r="C43" s="8">
        <v>37</v>
      </c>
      <c r="D43" s="8">
        <v>50</v>
      </c>
      <c r="E43" s="8">
        <v>70.400000000000006</v>
      </c>
      <c r="F43" s="8">
        <v>1480</v>
      </c>
      <c r="G43" s="8">
        <v>91.8</v>
      </c>
      <c r="H43" s="8">
        <v>0.87</v>
      </c>
      <c r="I43" s="16">
        <v>300</v>
      </c>
      <c r="J43" s="15">
        <f t="shared" si="0"/>
        <v>238.75</v>
      </c>
    </row>
    <row r="44" spans="1:10" ht="21" customHeight="1" x14ac:dyDescent="0.25">
      <c r="A44" s="7">
        <v>42</v>
      </c>
      <c r="B44" s="2" t="s">
        <v>137</v>
      </c>
      <c r="C44" s="8">
        <v>45</v>
      </c>
      <c r="D44" s="8">
        <v>61</v>
      </c>
      <c r="E44" s="8">
        <v>84.2</v>
      </c>
      <c r="F44" s="8">
        <v>1480</v>
      </c>
      <c r="G44" s="8">
        <v>92.3</v>
      </c>
      <c r="H44" s="8">
        <v>0.88</v>
      </c>
      <c r="I44" s="16">
        <v>320</v>
      </c>
      <c r="J44" s="15">
        <f t="shared" si="0"/>
        <v>290.37162162162201</v>
      </c>
    </row>
    <row r="45" spans="1:10" ht="21" customHeight="1" x14ac:dyDescent="0.25">
      <c r="A45" s="7">
        <v>43</v>
      </c>
      <c r="B45" s="2" t="s">
        <v>138</v>
      </c>
      <c r="C45" s="8">
        <v>55</v>
      </c>
      <c r="D45" s="8">
        <v>75</v>
      </c>
      <c r="E45" s="8">
        <v>102.6</v>
      </c>
      <c r="F45" s="8">
        <v>1480</v>
      </c>
      <c r="G45" s="8">
        <v>92.6</v>
      </c>
      <c r="H45" s="8">
        <v>0.88</v>
      </c>
      <c r="I45" s="16">
        <v>427</v>
      </c>
      <c r="J45" s="15">
        <f t="shared" si="0"/>
        <v>354.89864864864899</v>
      </c>
    </row>
    <row r="46" spans="1:10" ht="21" customHeight="1" x14ac:dyDescent="0.25">
      <c r="A46" s="7">
        <v>44</v>
      </c>
      <c r="B46" s="2" t="s">
        <v>139</v>
      </c>
      <c r="C46" s="8">
        <v>75</v>
      </c>
      <c r="D46" s="8">
        <v>102</v>
      </c>
      <c r="E46" s="8">
        <v>139.69999999999999</v>
      </c>
      <c r="F46" s="8">
        <v>1480</v>
      </c>
      <c r="G46" s="8">
        <v>92.7</v>
      </c>
      <c r="H46" s="8">
        <v>0.88</v>
      </c>
      <c r="I46" s="16">
        <v>562</v>
      </c>
      <c r="J46" s="15">
        <f t="shared" si="0"/>
        <v>483.95270270270299</v>
      </c>
    </row>
    <row r="47" spans="1:10" ht="21" customHeight="1" x14ac:dyDescent="0.25">
      <c r="A47" s="7">
        <v>45</v>
      </c>
      <c r="B47" s="2" t="s">
        <v>140</v>
      </c>
      <c r="C47" s="8">
        <v>90</v>
      </c>
      <c r="D47" s="8">
        <v>122.5</v>
      </c>
      <c r="E47" s="8">
        <v>164.3</v>
      </c>
      <c r="F47" s="8">
        <v>1480</v>
      </c>
      <c r="G47" s="8">
        <v>93.5</v>
      </c>
      <c r="H47" s="8">
        <v>0.89</v>
      </c>
      <c r="I47" s="16">
        <v>667</v>
      </c>
      <c r="J47" s="15">
        <f t="shared" si="0"/>
        <v>580.743243243243</v>
      </c>
    </row>
    <row r="48" spans="1:10" ht="21" customHeight="1" x14ac:dyDescent="0.25">
      <c r="A48" s="7">
        <v>46</v>
      </c>
      <c r="B48" s="2" t="s">
        <v>141</v>
      </c>
      <c r="C48" s="8">
        <v>110</v>
      </c>
      <c r="D48" s="8">
        <v>150</v>
      </c>
      <c r="E48" s="8">
        <v>201</v>
      </c>
      <c r="F48" s="8">
        <v>1480</v>
      </c>
      <c r="G48" s="8">
        <v>93.5</v>
      </c>
      <c r="H48" s="8">
        <v>0.89</v>
      </c>
      <c r="I48" s="16">
        <v>1000</v>
      </c>
      <c r="J48" s="15">
        <f t="shared" si="0"/>
        <v>709.79729729729695</v>
      </c>
    </row>
    <row r="49" spans="1:10" ht="21" customHeight="1" x14ac:dyDescent="0.25">
      <c r="A49" s="7">
        <v>47</v>
      </c>
      <c r="B49" s="2" t="s">
        <v>142</v>
      </c>
      <c r="C49" s="8">
        <v>132</v>
      </c>
      <c r="D49" s="8">
        <v>180</v>
      </c>
      <c r="E49" s="8">
        <v>240</v>
      </c>
      <c r="F49" s="8">
        <v>1490</v>
      </c>
      <c r="G49" s="8">
        <v>94</v>
      </c>
      <c r="H49" s="8">
        <v>0.89</v>
      </c>
      <c r="I49" s="16">
        <v>1100</v>
      </c>
      <c r="J49" s="15">
        <f t="shared" si="0"/>
        <v>846.040268456376</v>
      </c>
    </row>
    <row r="50" spans="1:10" ht="21" customHeight="1" x14ac:dyDescent="0.25">
      <c r="A50" s="7">
        <v>48</v>
      </c>
      <c r="B50" s="2" t="s">
        <v>143</v>
      </c>
      <c r="C50" s="8">
        <v>160</v>
      </c>
      <c r="D50" s="8">
        <v>218</v>
      </c>
      <c r="E50" s="8">
        <v>289</v>
      </c>
      <c r="F50" s="8">
        <v>1490</v>
      </c>
      <c r="G50" s="8">
        <v>94.5</v>
      </c>
      <c r="H50" s="8">
        <v>0.89</v>
      </c>
      <c r="I50" s="16">
        <v>1160</v>
      </c>
      <c r="J50" s="15">
        <f t="shared" si="0"/>
        <v>1025.5033557047</v>
      </c>
    </row>
    <row r="51" spans="1:10" ht="21" customHeight="1" x14ac:dyDescent="0.25">
      <c r="A51" s="7">
        <v>49</v>
      </c>
      <c r="B51" s="2" t="s">
        <v>144</v>
      </c>
      <c r="C51" s="8">
        <v>200</v>
      </c>
      <c r="D51" s="8">
        <v>272</v>
      </c>
      <c r="E51" s="8">
        <v>361</v>
      </c>
      <c r="F51" s="8">
        <v>1490</v>
      </c>
      <c r="G51" s="8">
        <v>94.5</v>
      </c>
      <c r="H51" s="8">
        <v>0.89</v>
      </c>
      <c r="I51" s="16">
        <v>1270</v>
      </c>
      <c r="J51" s="15">
        <f t="shared" si="0"/>
        <v>1281.87919463087</v>
      </c>
    </row>
    <row r="52" spans="1:10" ht="21" customHeight="1" x14ac:dyDescent="0.25">
      <c r="A52" s="7">
        <v>50</v>
      </c>
      <c r="B52" s="2" t="s">
        <v>145</v>
      </c>
      <c r="C52" s="8">
        <v>220</v>
      </c>
      <c r="D52" s="8">
        <v>299</v>
      </c>
      <c r="E52" s="8">
        <v>407</v>
      </c>
      <c r="F52" s="8">
        <v>1489</v>
      </c>
      <c r="G52" s="8">
        <v>94.4</v>
      </c>
      <c r="H52" s="8">
        <v>0.87</v>
      </c>
      <c r="I52" s="16">
        <v>1790</v>
      </c>
      <c r="J52" s="15">
        <f t="shared" si="0"/>
        <v>1411.0141034251201</v>
      </c>
    </row>
    <row r="53" spans="1:10" ht="21" customHeight="1" x14ac:dyDescent="0.25">
      <c r="A53" s="7">
        <v>51</v>
      </c>
      <c r="B53" s="2" t="s">
        <v>146</v>
      </c>
      <c r="C53" s="8">
        <v>250</v>
      </c>
      <c r="D53" s="8">
        <v>340</v>
      </c>
      <c r="E53" s="8">
        <v>461</v>
      </c>
      <c r="F53" s="8">
        <v>1489</v>
      </c>
      <c r="G53" s="8">
        <v>94.7</v>
      </c>
      <c r="H53" s="8">
        <v>0.87</v>
      </c>
      <c r="I53" s="16">
        <v>1800</v>
      </c>
      <c r="J53" s="15">
        <f t="shared" si="0"/>
        <v>1603.4251175285401</v>
      </c>
    </row>
    <row r="54" spans="1:10" ht="21" customHeight="1" x14ac:dyDescent="0.25">
      <c r="A54" s="7">
        <v>52</v>
      </c>
      <c r="B54" s="2" t="s">
        <v>147</v>
      </c>
      <c r="C54" s="8">
        <v>280</v>
      </c>
      <c r="D54" s="8">
        <v>381</v>
      </c>
      <c r="E54" s="8">
        <v>515.29999999999995</v>
      </c>
      <c r="F54" s="8">
        <v>1489</v>
      </c>
      <c r="G54" s="8">
        <v>94.9</v>
      </c>
      <c r="H54" s="8">
        <v>0.87</v>
      </c>
      <c r="I54" s="16">
        <v>1880</v>
      </c>
      <c r="J54" s="15">
        <f t="shared" si="0"/>
        <v>1795.8361316319699</v>
      </c>
    </row>
    <row r="55" spans="1:10" ht="21" customHeight="1" x14ac:dyDescent="0.25">
      <c r="A55" s="7">
        <v>53</v>
      </c>
      <c r="B55" s="10" t="s">
        <v>148</v>
      </c>
      <c r="C55" s="11">
        <v>315</v>
      </c>
      <c r="D55" s="11">
        <v>429</v>
      </c>
      <c r="E55" s="11">
        <v>577.9</v>
      </c>
      <c r="F55" s="11">
        <v>1489</v>
      </c>
      <c r="G55" s="11">
        <v>95.2</v>
      </c>
      <c r="H55" s="11">
        <v>0.87</v>
      </c>
      <c r="I55" s="17">
        <v>1940</v>
      </c>
      <c r="J55" s="15">
        <f t="shared" si="0"/>
        <v>2020.31564808596</v>
      </c>
    </row>
    <row r="56" spans="1:10" ht="21" customHeight="1" x14ac:dyDescent="0.25">
      <c r="A56" s="7">
        <v>54</v>
      </c>
      <c r="B56" s="5" t="s">
        <v>149</v>
      </c>
      <c r="C56" s="6">
        <v>0.75</v>
      </c>
      <c r="D56" s="6">
        <v>1</v>
      </c>
      <c r="E56" s="6">
        <v>2.2000000000000002</v>
      </c>
      <c r="F56" s="6">
        <v>910</v>
      </c>
      <c r="G56" s="6">
        <v>72.5</v>
      </c>
      <c r="H56" s="6">
        <v>0.7</v>
      </c>
      <c r="I56" s="14">
        <v>23</v>
      </c>
      <c r="J56" s="15">
        <f t="shared" si="0"/>
        <v>7.8708791208791196</v>
      </c>
    </row>
    <row r="57" spans="1:10" ht="21" customHeight="1" x14ac:dyDescent="0.25">
      <c r="A57" s="7">
        <v>55</v>
      </c>
      <c r="B57" s="2" t="s">
        <v>150</v>
      </c>
      <c r="C57" s="8">
        <v>1.1000000000000001</v>
      </c>
      <c r="D57" s="8">
        <v>1.5</v>
      </c>
      <c r="E57" s="8">
        <v>3.2</v>
      </c>
      <c r="F57" s="8">
        <v>910</v>
      </c>
      <c r="G57" s="8">
        <v>73.5</v>
      </c>
      <c r="H57" s="8">
        <v>0.72</v>
      </c>
      <c r="I57" s="16">
        <v>27</v>
      </c>
      <c r="J57" s="15">
        <f t="shared" si="0"/>
        <v>11.543956043955999</v>
      </c>
    </row>
    <row r="58" spans="1:10" ht="21" customHeight="1" x14ac:dyDescent="0.25">
      <c r="A58" s="7">
        <v>56</v>
      </c>
      <c r="B58" s="2" t="s">
        <v>151</v>
      </c>
      <c r="C58" s="8">
        <v>1.5</v>
      </c>
      <c r="D58" s="8">
        <v>2</v>
      </c>
      <c r="E58" s="8">
        <v>4</v>
      </c>
      <c r="F58" s="8">
        <v>940</v>
      </c>
      <c r="G58" s="8">
        <v>77.5</v>
      </c>
      <c r="H58" s="8">
        <v>0.74</v>
      </c>
      <c r="I58" s="16">
        <v>36</v>
      </c>
      <c r="J58" s="15">
        <f t="shared" si="0"/>
        <v>15.239361702127701</v>
      </c>
    </row>
    <row r="59" spans="1:10" ht="21" customHeight="1" x14ac:dyDescent="0.25">
      <c r="A59" s="7">
        <v>57</v>
      </c>
      <c r="B59" s="2" t="s">
        <v>152</v>
      </c>
      <c r="C59" s="8">
        <v>2.2000000000000002</v>
      </c>
      <c r="D59" s="8">
        <v>3</v>
      </c>
      <c r="E59" s="8">
        <v>5.6</v>
      </c>
      <c r="F59" s="8">
        <v>940</v>
      </c>
      <c r="G59" s="8">
        <v>80.5</v>
      </c>
      <c r="H59" s="8">
        <v>0.74</v>
      </c>
      <c r="I59" s="16">
        <v>46</v>
      </c>
      <c r="J59" s="15">
        <f t="shared" si="0"/>
        <v>22.351063829787201</v>
      </c>
    </row>
    <row r="60" spans="1:10" ht="21" customHeight="1" x14ac:dyDescent="0.25">
      <c r="A60" s="7">
        <v>58</v>
      </c>
      <c r="B60" s="2" t="s">
        <v>153</v>
      </c>
      <c r="C60" s="8">
        <v>3</v>
      </c>
      <c r="D60" s="8">
        <v>4</v>
      </c>
      <c r="E60" s="8">
        <v>7.2</v>
      </c>
      <c r="F60" s="8">
        <v>960</v>
      </c>
      <c r="G60" s="8">
        <v>83</v>
      </c>
      <c r="H60" s="8">
        <v>0.76</v>
      </c>
      <c r="I60" s="16">
        <v>67</v>
      </c>
      <c r="J60" s="15">
        <f t="shared" si="0"/>
        <v>29.84375</v>
      </c>
    </row>
    <row r="61" spans="1:10" ht="21" customHeight="1" x14ac:dyDescent="0.25">
      <c r="A61" s="7">
        <v>59</v>
      </c>
      <c r="B61" s="2" t="s">
        <v>154</v>
      </c>
      <c r="C61" s="8">
        <v>4</v>
      </c>
      <c r="D61" s="8">
        <v>5.5</v>
      </c>
      <c r="E61" s="8">
        <v>9.4</v>
      </c>
      <c r="F61" s="8">
        <v>960</v>
      </c>
      <c r="G61" s="8">
        <v>84</v>
      </c>
      <c r="H61" s="8">
        <v>0.77</v>
      </c>
      <c r="I61" s="16">
        <v>77</v>
      </c>
      <c r="J61" s="15">
        <f t="shared" si="0"/>
        <v>39.7916666666667</v>
      </c>
    </row>
    <row r="62" spans="1:10" ht="21" customHeight="1" x14ac:dyDescent="0.25">
      <c r="A62" s="7">
        <v>60</v>
      </c>
      <c r="B62" s="2" t="s">
        <v>155</v>
      </c>
      <c r="C62" s="8">
        <v>5.5</v>
      </c>
      <c r="D62" s="8">
        <v>7.5</v>
      </c>
      <c r="E62" s="8">
        <v>12.6</v>
      </c>
      <c r="F62" s="8">
        <v>960</v>
      </c>
      <c r="G62" s="8">
        <v>85.3</v>
      </c>
      <c r="H62" s="8">
        <v>0.78</v>
      </c>
      <c r="I62" s="16">
        <v>87</v>
      </c>
      <c r="J62" s="15">
        <f t="shared" si="0"/>
        <v>54.7135416666667</v>
      </c>
    </row>
    <row r="63" spans="1:10" ht="21" customHeight="1" x14ac:dyDescent="0.25">
      <c r="A63" s="7">
        <v>61</v>
      </c>
      <c r="B63" s="2" t="s">
        <v>156</v>
      </c>
      <c r="C63" s="8">
        <v>7.5</v>
      </c>
      <c r="D63" s="8">
        <v>10</v>
      </c>
      <c r="E63" s="8">
        <v>17</v>
      </c>
      <c r="F63" s="8">
        <v>970</v>
      </c>
      <c r="G63" s="8">
        <v>86</v>
      </c>
      <c r="H63" s="8">
        <v>0.78</v>
      </c>
      <c r="I63" s="16">
        <v>120</v>
      </c>
      <c r="J63" s="15">
        <f t="shared" si="0"/>
        <v>73.840206185566998</v>
      </c>
    </row>
    <row r="64" spans="1:10" ht="21" customHeight="1" x14ac:dyDescent="0.25">
      <c r="A64" s="7">
        <v>62</v>
      </c>
      <c r="B64" s="2" t="s">
        <v>157</v>
      </c>
      <c r="C64" s="8">
        <v>11</v>
      </c>
      <c r="D64" s="8">
        <v>15</v>
      </c>
      <c r="E64" s="8">
        <v>24.6</v>
      </c>
      <c r="F64" s="8">
        <v>970</v>
      </c>
      <c r="G64" s="8">
        <v>87</v>
      </c>
      <c r="H64" s="8">
        <v>0.78</v>
      </c>
      <c r="I64" s="16">
        <v>146</v>
      </c>
      <c r="J64" s="15">
        <f t="shared" si="0"/>
        <v>108.29896907216499</v>
      </c>
    </row>
    <row r="65" spans="1:10" ht="21" customHeight="1" x14ac:dyDescent="0.25">
      <c r="A65" s="7">
        <v>63</v>
      </c>
      <c r="B65" s="2" t="s">
        <v>158</v>
      </c>
      <c r="C65" s="8">
        <v>15</v>
      </c>
      <c r="D65" s="8">
        <v>20</v>
      </c>
      <c r="E65" s="8">
        <v>31.4</v>
      </c>
      <c r="F65" s="8">
        <v>970</v>
      </c>
      <c r="G65" s="8">
        <v>89.5</v>
      </c>
      <c r="H65" s="8">
        <v>0.81</v>
      </c>
      <c r="I65" s="16">
        <v>183</v>
      </c>
      <c r="J65" s="15">
        <f t="shared" si="0"/>
        <v>147.680412371134</v>
      </c>
    </row>
    <row r="66" spans="1:10" ht="21" customHeight="1" x14ac:dyDescent="0.25">
      <c r="A66" s="7">
        <v>64</v>
      </c>
      <c r="B66" s="2" t="s">
        <v>159</v>
      </c>
      <c r="C66" s="8">
        <v>18.5</v>
      </c>
      <c r="D66" s="8">
        <v>25</v>
      </c>
      <c r="E66" s="8">
        <v>37.700000000000003</v>
      </c>
      <c r="F66" s="8">
        <v>970</v>
      </c>
      <c r="G66" s="8">
        <v>89.8</v>
      </c>
      <c r="H66" s="8">
        <v>0.83</v>
      </c>
      <c r="I66" s="16">
        <v>220</v>
      </c>
      <c r="J66" s="15">
        <f t="shared" si="0"/>
        <v>182.13917525773201</v>
      </c>
    </row>
    <row r="67" spans="1:10" ht="21" customHeight="1" x14ac:dyDescent="0.25">
      <c r="A67" s="7">
        <v>65</v>
      </c>
      <c r="B67" s="2" t="s">
        <v>160</v>
      </c>
      <c r="C67" s="8">
        <v>22</v>
      </c>
      <c r="D67" s="8">
        <v>30</v>
      </c>
      <c r="E67" s="8">
        <v>44.6</v>
      </c>
      <c r="F67" s="8">
        <v>970</v>
      </c>
      <c r="G67" s="8">
        <v>90.2</v>
      </c>
      <c r="H67" s="8">
        <v>0.83</v>
      </c>
      <c r="I67" s="16">
        <v>250</v>
      </c>
      <c r="J67" s="15">
        <f t="shared" ref="J67:J103" si="1">9550*C67/F67</f>
        <v>216.59793814432999</v>
      </c>
    </row>
    <row r="68" spans="1:10" ht="21" customHeight="1" x14ac:dyDescent="0.25">
      <c r="A68" s="7">
        <v>66</v>
      </c>
      <c r="B68" s="2" t="s">
        <v>161</v>
      </c>
      <c r="C68" s="8">
        <v>30</v>
      </c>
      <c r="D68" s="8">
        <v>40</v>
      </c>
      <c r="E68" s="8">
        <v>59.5</v>
      </c>
      <c r="F68" s="8">
        <v>980</v>
      </c>
      <c r="G68" s="8">
        <v>90.2</v>
      </c>
      <c r="H68" s="8">
        <v>0.85</v>
      </c>
      <c r="I68" s="16">
        <v>300</v>
      </c>
      <c r="J68" s="15">
        <f t="shared" si="1"/>
        <v>292.34693877551001</v>
      </c>
    </row>
    <row r="69" spans="1:10" ht="21" customHeight="1" x14ac:dyDescent="0.25">
      <c r="A69" s="7">
        <v>67</v>
      </c>
      <c r="B69" s="2" t="s">
        <v>162</v>
      </c>
      <c r="C69" s="8">
        <v>37</v>
      </c>
      <c r="D69" s="8">
        <v>50</v>
      </c>
      <c r="E69" s="8">
        <v>72</v>
      </c>
      <c r="F69" s="8">
        <v>980</v>
      </c>
      <c r="G69" s="8">
        <v>90.8</v>
      </c>
      <c r="H69" s="8">
        <v>0.86</v>
      </c>
      <c r="I69" s="16">
        <v>410</v>
      </c>
      <c r="J69" s="15">
        <f t="shared" si="1"/>
        <v>360.56122448979602</v>
      </c>
    </row>
    <row r="70" spans="1:10" ht="21" customHeight="1" x14ac:dyDescent="0.25">
      <c r="A70" s="7">
        <v>68</v>
      </c>
      <c r="B70" s="2" t="s">
        <v>163</v>
      </c>
      <c r="C70" s="8">
        <v>45</v>
      </c>
      <c r="D70" s="8">
        <v>61</v>
      </c>
      <c r="E70" s="8">
        <v>85.4</v>
      </c>
      <c r="F70" s="8">
        <v>980</v>
      </c>
      <c r="G70" s="8">
        <v>92</v>
      </c>
      <c r="H70" s="8">
        <v>0.87</v>
      </c>
      <c r="I70" s="16">
        <v>536</v>
      </c>
      <c r="J70" s="15">
        <f t="shared" si="1"/>
        <v>438.52040816326502</v>
      </c>
    </row>
    <row r="71" spans="1:10" ht="21" customHeight="1" x14ac:dyDescent="0.25">
      <c r="A71" s="7">
        <v>69</v>
      </c>
      <c r="B71" s="2" t="s">
        <v>164</v>
      </c>
      <c r="C71" s="8">
        <v>55</v>
      </c>
      <c r="D71" s="8">
        <v>75</v>
      </c>
      <c r="E71" s="8">
        <v>104.4</v>
      </c>
      <c r="F71" s="8">
        <v>980</v>
      </c>
      <c r="G71" s="8">
        <v>92</v>
      </c>
      <c r="H71" s="8">
        <v>0.87</v>
      </c>
      <c r="I71" s="16">
        <v>595</v>
      </c>
      <c r="J71" s="15">
        <f t="shared" si="1"/>
        <v>535.96938775510205</v>
      </c>
    </row>
    <row r="72" spans="1:10" ht="21" customHeight="1" x14ac:dyDescent="0.25">
      <c r="A72" s="7">
        <v>70</v>
      </c>
      <c r="B72" s="2" t="s">
        <v>165</v>
      </c>
      <c r="C72" s="8">
        <v>75</v>
      </c>
      <c r="D72" s="8">
        <v>102</v>
      </c>
      <c r="E72" s="8">
        <v>141</v>
      </c>
      <c r="F72" s="8">
        <v>990</v>
      </c>
      <c r="G72" s="8">
        <v>92.8</v>
      </c>
      <c r="H72" s="8">
        <v>0.87</v>
      </c>
      <c r="I72" s="16">
        <v>1000</v>
      </c>
      <c r="J72" s="15">
        <f t="shared" si="1"/>
        <v>723.48484848484895</v>
      </c>
    </row>
    <row r="73" spans="1:10" ht="21" customHeight="1" x14ac:dyDescent="0.25">
      <c r="A73" s="7">
        <v>71</v>
      </c>
      <c r="B73" s="2" t="s">
        <v>166</v>
      </c>
      <c r="C73" s="8">
        <v>90</v>
      </c>
      <c r="D73" s="8">
        <v>122.5</v>
      </c>
      <c r="E73" s="8">
        <v>168.6</v>
      </c>
      <c r="F73" s="8">
        <v>990</v>
      </c>
      <c r="G73" s="8">
        <v>93.2</v>
      </c>
      <c r="H73" s="8">
        <v>0.87</v>
      </c>
      <c r="I73" s="16">
        <v>1080</v>
      </c>
      <c r="J73" s="15">
        <f t="shared" si="1"/>
        <v>868.18181818181802</v>
      </c>
    </row>
    <row r="74" spans="1:10" ht="21" customHeight="1" x14ac:dyDescent="0.25">
      <c r="A74" s="7">
        <v>72</v>
      </c>
      <c r="B74" s="2" t="s">
        <v>167</v>
      </c>
      <c r="C74" s="8">
        <v>110</v>
      </c>
      <c r="D74" s="8">
        <v>150</v>
      </c>
      <c r="E74" s="8">
        <v>205.5</v>
      </c>
      <c r="F74" s="8">
        <v>990</v>
      </c>
      <c r="G74" s="8">
        <v>93.5</v>
      </c>
      <c r="H74" s="8">
        <v>0.87</v>
      </c>
      <c r="I74" s="16">
        <v>1150</v>
      </c>
      <c r="J74" s="15">
        <f t="shared" si="1"/>
        <v>1061.1111111111099</v>
      </c>
    </row>
    <row r="75" spans="1:10" ht="21" customHeight="1" x14ac:dyDescent="0.25">
      <c r="A75" s="7">
        <v>73</v>
      </c>
      <c r="B75" s="2" t="s">
        <v>168</v>
      </c>
      <c r="C75" s="8">
        <v>132</v>
      </c>
      <c r="D75" s="8">
        <v>180</v>
      </c>
      <c r="E75" s="8">
        <v>245.6</v>
      </c>
      <c r="F75" s="8">
        <v>990</v>
      </c>
      <c r="G75" s="8">
        <v>93.8</v>
      </c>
      <c r="H75" s="8">
        <v>0.87</v>
      </c>
      <c r="I75" s="16">
        <v>1210</v>
      </c>
      <c r="J75" s="15">
        <f t="shared" si="1"/>
        <v>1273.3333333333301</v>
      </c>
    </row>
    <row r="76" spans="1:10" ht="21" customHeight="1" x14ac:dyDescent="0.25">
      <c r="A76" s="7">
        <v>74</v>
      </c>
      <c r="B76" s="2" t="s">
        <v>169</v>
      </c>
      <c r="C76" s="8">
        <v>160</v>
      </c>
      <c r="D76" s="8">
        <v>218</v>
      </c>
      <c r="E76" s="8">
        <v>300.39999999999998</v>
      </c>
      <c r="F76" s="8">
        <v>990</v>
      </c>
      <c r="G76" s="8">
        <v>94.1</v>
      </c>
      <c r="H76" s="8">
        <v>0.86</v>
      </c>
      <c r="I76" s="16">
        <v>1590</v>
      </c>
      <c r="J76" s="15">
        <f t="shared" si="1"/>
        <v>1543.43434343434</v>
      </c>
    </row>
    <row r="77" spans="1:10" ht="21" customHeight="1" x14ac:dyDescent="0.25">
      <c r="A77" s="7">
        <v>75</v>
      </c>
      <c r="B77" s="2" t="s">
        <v>170</v>
      </c>
      <c r="C77" s="8">
        <v>185</v>
      </c>
      <c r="D77" s="8">
        <v>272</v>
      </c>
      <c r="E77" s="8">
        <v>346.6</v>
      </c>
      <c r="F77" s="8">
        <v>990</v>
      </c>
      <c r="G77" s="8">
        <v>94.3</v>
      </c>
      <c r="H77" s="8">
        <v>0.86</v>
      </c>
      <c r="I77" s="16">
        <v>1670</v>
      </c>
      <c r="J77" s="15">
        <f t="shared" si="1"/>
        <v>1784.59595959596</v>
      </c>
    </row>
    <row r="78" spans="1:10" ht="21" customHeight="1" x14ac:dyDescent="0.25">
      <c r="A78" s="7">
        <v>76</v>
      </c>
      <c r="B78" s="2" t="s">
        <v>171</v>
      </c>
      <c r="C78" s="8">
        <v>200</v>
      </c>
      <c r="D78" s="8">
        <v>299</v>
      </c>
      <c r="E78" s="8">
        <v>374.7</v>
      </c>
      <c r="F78" s="8">
        <v>990</v>
      </c>
      <c r="G78" s="8">
        <v>94.3</v>
      </c>
      <c r="H78" s="8">
        <v>0.86</v>
      </c>
      <c r="I78" s="16">
        <v>1750</v>
      </c>
      <c r="J78" s="15">
        <f t="shared" si="1"/>
        <v>1929.29292929293</v>
      </c>
    </row>
    <row r="79" spans="1:10" ht="21" customHeight="1" x14ac:dyDescent="0.25">
      <c r="A79" s="7">
        <v>77</v>
      </c>
      <c r="B79" s="2" t="s">
        <v>172</v>
      </c>
      <c r="C79" s="8">
        <v>220</v>
      </c>
      <c r="D79" s="8">
        <v>340</v>
      </c>
      <c r="E79" s="8">
        <v>411.3</v>
      </c>
      <c r="F79" s="8">
        <v>991</v>
      </c>
      <c r="G79" s="8">
        <v>94.5</v>
      </c>
      <c r="H79" s="8">
        <v>0.86</v>
      </c>
      <c r="I79" s="16">
        <v>1870</v>
      </c>
      <c r="J79" s="15">
        <f t="shared" si="1"/>
        <v>2120.0807265388498</v>
      </c>
    </row>
    <row r="80" spans="1:10" ht="21" customHeight="1" x14ac:dyDescent="0.25">
      <c r="A80" s="7">
        <v>78</v>
      </c>
      <c r="B80" s="10" t="s">
        <v>173</v>
      </c>
      <c r="C80" s="11">
        <v>250</v>
      </c>
      <c r="D80" s="11">
        <v>381</v>
      </c>
      <c r="E80" s="11">
        <v>466.4</v>
      </c>
      <c r="F80" s="11">
        <v>991</v>
      </c>
      <c r="G80" s="11">
        <v>94.7</v>
      </c>
      <c r="H80" s="11">
        <v>0.86</v>
      </c>
      <c r="I80" s="17">
        <v>1990</v>
      </c>
      <c r="J80" s="15">
        <f t="shared" si="1"/>
        <v>2409.18264379415</v>
      </c>
    </row>
    <row r="81" spans="1:10" ht="21" customHeight="1" x14ac:dyDescent="0.25">
      <c r="A81" s="7">
        <v>79</v>
      </c>
      <c r="B81" s="5" t="s">
        <v>174</v>
      </c>
      <c r="C81" s="6">
        <v>2.2000000000000002</v>
      </c>
      <c r="D81" s="6">
        <v>3</v>
      </c>
      <c r="E81" s="6">
        <v>5.6</v>
      </c>
      <c r="F81" s="6">
        <v>710</v>
      </c>
      <c r="G81" s="6">
        <v>80.5</v>
      </c>
      <c r="H81" s="6">
        <v>0.71</v>
      </c>
      <c r="I81" s="14">
        <v>65</v>
      </c>
      <c r="J81" s="15">
        <f t="shared" si="1"/>
        <v>29.591549295774598</v>
      </c>
    </row>
    <row r="82" spans="1:10" ht="21" customHeight="1" x14ac:dyDescent="0.25">
      <c r="A82" s="7">
        <v>80</v>
      </c>
      <c r="B82" s="2" t="s">
        <v>175</v>
      </c>
      <c r="C82" s="8">
        <v>3</v>
      </c>
      <c r="D82" s="8">
        <v>4</v>
      </c>
      <c r="E82" s="8">
        <v>7.7</v>
      </c>
      <c r="F82" s="8">
        <v>710</v>
      </c>
      <c r="G82" s="8">
        <v>82</v>
      </c>
      <c r="H82" s="8">
        <v>0.72</v>
      </c>
      <c r="I82" s="16">
        <v>76</v>
      </c>
      <c r="J82" s="15">
        <f t="shared" si="1"/>
        <v>40.352112676056301</v>
      </c>
    </row>
    <row r="83" spans="1:10" ht="21" customHeight="1" x14ac:dyDescent="0.25">
      <c r="A83" s="7">
        <v>81</v>
      </c>
      <c r="B83" s="2" t="s">
        <v>176</v>
      </c>
      <c r="C83" s="8">
        <v>4</v>
      </c>
      <c r="D83" s="8">
        <v>5.5</v>
      </c>
      <c r="E83" s="8">
        <v>9.9</v>
      </c>
      <c r="F83" s="8">
        <v>720</v>
      </c>
      <c r="G83" s="8">
        <v>84</v>
      </c>
      <c r="H83" s="8">
        <v>0.73</v>
      </c>
      <c r="I83" s="16">
        <v>110</v>
      </c>
      <c r="J83" s="15">
        <f t="shared" si="1"/>
        <v>53.0555555555556</v>
      </c>
    </row>
    <row r="84" spans="1:10" ht="21" customHeight="1" x14ac:dyDescent="0.25">
      <c r="A84" s="7">
        <v>82</v>
      </c>
      <c r="B84" s="2" t="s">
        <v>177</v>
      </c>
      <c r="C84" s="8">
        <v>5.5</v>
      </c>
      <c r="D84" s="8">
        <v>7.5</v>
      </c>
      <c r="E84" s="8">
        <v>13.3</v>
      </c>
      <c r="F84" s="8">
        <v>720</v>
      </c>
      <c r="G84" s="8">
        <v>85</v>
      </c>
      <c r="H84" s="8">
        <v>0.74</v>
      </c>
      <c r="I84" s="16">
        <v>110</v>
      </c>
      <c r="J84" s="15">
        <f t="shared" si="1"/>
        <v>72.9513888888889</v>
      </c>
    </row>
    <row r="85" spans="1:10" ht="21" customHeight="1" x14ac:dyDescent="0.25">
      <c r="A85" s="7">
        <v>83</v>
      </c>
      <c r="B85" s="2" t="s">
        <v>178</v>
      </c>
      <c r="C85" s="8">
        <v>7.5</v>
      </c>
      <c r="D85" s="8">
        <v>10</v>
      </c>
      <c r="E85" s="8">
        <v>17.100000000000001</v>
      </c>
      <c r="F85" s="8">
        <v>720</v>
      </c>
      <c r="G85" s="8">
        <v>86</v>
      </c>
      <c r="H85" s="8">
        <v>0.75</v>
      </c>
      <c r="I85" s="16">
        <v>140</v>
      </c>
      <c r="J85" s="15">
        <f t="shared" si="1"/>
        <v>99.4791666666667</v>
      </c>
    </row>
    <row r="86" spans="1:10" ht="21" customHeight="1" x14ac:dyDescent="0.25">
      <c r="A86" s="7">
        <v>84</v>
      </c>
      <c r="B86" s="2" t="s">
        <v>179</v>
      </c>
      <c r="C86" s="8">
        <v>11</v>
      </c>
      <c r="D86" s="8">
        <v>15</v>
      </c>
      <c r="E86" s="8">
        <v>24.8</v>
      </c>
      <c r="F86" s="8">
        <v>730</v>
      </c>
      <c r="G86" s="8">
        <v>87.5</v>
      </c>
      <c r="H86" s="8">
        <v>0.77</v>
      </c>
      <c r="I86" s="16">
        <v>185</v>
      </c>
      <c r="J86" s="15">
        <f t="shared" si="1"/>
        <v>143.90410958904101</v>
      </c>
    </row>
    <row r="87" spans="1:10" ht="21" customHeight="1" x14ac:dyDescent="0.25">
      <c r="A87" s="7">
        <v>85</v>
      </c>
      <c r="B87" s="2" t="s">
        <v>180</v>
      </c>
      <c r="C87" s="8">
        <v>15</v>
      </c>
      <c r="D87" s="8">
        <v>20</v>
      </c>
      <c r="E87" s="8">
        <v>34</v>
      </c>
      <c r="F87" s="8">
        <v>730</v>
      </c>
      <c r="G87" s="8">
        <v>88</v>
      </c>
      <c r="H87" s="8">
        <v>0.76</v>
      </c>
      <c r="I87" s="16">
        <v>235</v>
      </c>
      <c r="J87" s="15">
        <f t="shared" si="1"/>
        <v>196.23287671232899</v>
      </c>
    </row>
    <row r="88" spans="1:10" ht="21" customHeight="1" x14ac:dyDescent="0.25">
      <c r="A88" s="7">
        <v>86</v>
      </c>
      <c r="B88" s="2" t="s">
        <v>181</v>
      </c>
      <c r="C88" s="8">
        <v>18.5</v>
      </c>
      <c r="D88" s="8">
        <v>25</v>
      </c>
      <c r="E88" s="8">
        <v>41.3</v>
      </c>
      <c r="F88" s="8">
        <v>730</v>
      </c>
      <c r="G88" s="8">
        <v>89.5</v>
      </c>
      <c r="H88" s="8">
        <v>0.76</v>
      </c>
      <c r="I88" s="16">
        <v>276</v>
      </c>
      <c r="J88" s="15">
        <f t="shared" si="1"/>
        <v>242.02054794520501</v>
      </c>
    </row>
    <row r="89" spans="1:10" ht="21" customHeight="1" x14ac:dyDescent="0.25">
      <c r="A89" s="7">
        <v>87</v>
      </c>
      <c r="B89" s="2" t="s">
        <v>182</v>
      </c>
      <c r="C89" s="8">
        <v>22</v>
      </c>
      <c r="D89" s="8">
        <v>30</v>
      </c>
      <c r="E89" s="8">
        <v>47.6</v>
      </c>
      <c r="F89" s="8">
        <v>730</v>
      </c>
      <c r="G89" s="8">
        <v>90</v>
      </c>
      <c r="H89" s="8">
        <v>0.78</v>
      </c>
      <c r="I89" s="16">
        <v>303</v>
      </c>
      <c r="J89" s="15">
        <f t="shared" si="1"/>
        <v>287.80821917808203</v>
      </c>
    </row>
    <row r="90" spans="1:10" ht="21" customHeight="1" x14ac:dyDescent="0.25">
      <c r="A90" s="7">
        <v>88</v>
      </c>
      <c r="B90" s="2" t="s">
        <v>183</v>
      </c>
      <c r="C90" s="8">
        <v>30</v>
      </c>
      <c r="D90" s="8">
        <v>40</v>
      </c>
      <c r="E90" s="8">
        <v>63</v>
      </c>
      <c r="F90" s="8">
        <v>730</v>
      </c>
      <c r="G90" s="8">
        <v>90.5</v>
      </c>
      <c r="H90" s="8">
        <v>0.8</v>
      </c>
      <c r="I90" s="16">
        <v>402</v>
      </c>
      <c r="J90" s="15">
        <f t="shared" si="1"/>
        <v>392.46575342465798</v>
      </c>
    </row>
    <row r="91" spans="1:10" ht="21" customHeight="1" x14ac:dyDescent="0.25">
      <c r="A91" s="7">
        <v>89</v>
      </c>
      <c r="B91" s="2" t="s">
        <v>184</v>
      </c>
      <c r="C91" s="8">
        <v>37</v>
      </c>
      <c r="D91" s="8">
        <v>50</v>
      </c>
      <c r="E91" s="8">
        <v>78.2</v>
      </c>
      <c r="F91" s="8">
        <v>740</v>
      </c>
      <c r="G91" s="8">
        <v>91</v>
      </c>
      <c r="H91" s="8">
        <v>0.79</v>
      </c>
      <c r="I91" s="16">
        <v>520</v>
      </c>
      <c r="J91" s="15">
        <f t="shared" si="1"/>
        <v>477.5</v>
      </c>
    </row>
    <row r="92" spans="1:10" ht="21" customHeight="1" x14ac:dyDescent="0.25">
      <c r="A92" s="7">
        <v>90</v>
      </c>
      <c r="B92" s="2" t="s">
        <v>185</v>
      </c>
      <c r="C92" s="8">
        <v>45</v>
      </c>
      <c r="D92" s="8">
        <v>61</v>
      </c>
      <c r="E92" s="8">
        <v>93.2</v>
      </c>
      <c r="F92" s="8">
        <v>730</v>
      </c>
      <c r="G92" s="8">
        <v>91.7</v>
      </c>
      <c r="H92" s="8">
        <v>0.8</v>
      </c>
      <c r="I92" s="16">
        <v>592</v>
      </c>
      <c r="J92" s="15">
        <f t="shared" si="1"/>
        <v>588.69863013698603</v>
      </c>
    </row>
    <row r="93" spans="1:10" ht="21" customHeight="1" x14ac:dyDescent="0.25">
      <c r="A93" s="7">
        <v>91</v>
      </c>
      <c r="B93" s="2" t="s">
        <v>186</v>
      </c>
      <c r="C93" s="8">
        <v>55</v>
      </c>
      <c r="D93" s="8">
        <v>75</v>
      </c>
      <c r="E93" s="8">
        <v>113.5</v>
      </c>
      <c r="F93" s="8">
        <v>740</v>
      </c>
      <c r="G93" s="8">
        <v>92</v>
      </c>
      <c r="H93" s="8">
        <v>0.8</v>
      </c>
      <c r="I93" s="16">
        <v>1100</v>
      </c>
      <c r="J93" s="15">
        <f t="shared" si="1"/>
        <v>709.79729729729695</v>
      </c>
    </row>
    <row r="94" spans="1:10" ht="21" customHeight="1" x14ac:dyDescent="0.25">
      <c r="A94" s="7">
        <v>92</v>
      </c>
      <c r="B94" s="2" t="s">
        <v>187</v>
      </c>
      <c r="C94" s="8">
        <v>75</v>
      </c>
      <c r="D94" s="8">
        <v>102</v>
      </c>
      <c r="E94" s="8">
        <v>152</v>
      </c>
      <c r="F94" s="8">
        <v>740</v>
      </c>
      <c r="G94" s="8">
        <v>92.5</v>
      </c>
      <c r="H94" s="8">
        <v>0.81</v>
      </c>
      <c r="I94" s="16">
        <v>1160</v>
      </c>
      <c r="J94" s="15">
        <f t="shared" si="1"/>
        <v>967.90540540540496</v>
      </c>
    </row>
    <row r="95" spans="1:10" ht="21" customHeight="1" x14ac:dyDescent="0.25">
      <c r="A95" s="7">
        <v>93</v>
      </c>
      <c r="B95" s="2" t="s">
        <v>188</v>
      </c>
      <c r="C95" s="8">
        <v>90</v>
      </c>
      <c r="D95" s="8">
        <v>122.5</v>
      </c>
      <c r="E95" s="8">
        <v>179</v>
      </c>
      <c r="F95" s="8">
        <v>740</v>
      </c>
      <c r="G95" s="8">
        <v>93</v>
      </c>
      <c r="H95" s="8">
        <v>0.82</v>
      </c>
      <c r="I95" s="16">
        <v>1230</v>
      </c>
      <c r="J95" s="15">
        <f t="shared" si="1"/>
        <v>1161.4864864864901</v>
      </c>
    </row>
    <row r="96" spans="1:10" ht="21" customHeight="1" x14ac:dyDescent="0.25">
      <c r="A96" s="7">
        <v>94</v>
      </c>
      <c r="B96" s="2" t="s">
        <v>189</v>
      </c>
      <c r="C96" s="8">
        <v>110</v>
      </c>
      <c r="D96" s="8">
        <v>150</v>
      </c>
      <c r="E96" s="8">
        <v>218.5</v>
      </c>
      <c r="F96" s="8">
        <v>740</v>
      </c>
      <c r="G96" s="8">
        <v>93.3</v>
      </c>
      <c r="H96" s="8">
        <v>0.82</v>
      </c>
      <c r="I96" s="16">
        <v>1380</v>
      </c>
      <c r="J96" s="15">
        <f t="shared" si="1"/>
        <v>1419.59459459459</v>
      </c>
    </row>
    <row r="97" spans="1:10" ht="21" customHeight="1" x14ac:dyDescent="0.25">
      <c r="A97" s="7">
        <v>95</v>
      </c>
      <c r="B97" s="2" t="s">
        <v>190</v>
      </c>
      <c r="C97" s="8">
        <v>132</v>
      </c>
      <c r="D97" s="8">
        <v>180</v>
      </c>
      <c r="E97" s="8">
        <v>264</v>
      </c>
      <c r="F97" s="8">
        <v>742</v>
      </c>
      <c r="G97" s="8">
        <v>93.8</v>
      </c>
      <c r="H97" s="8">
        <v>0.81</v>
      </c>
      <c r="I97" s="16">
        <v>1660</v>
      </c>
      <c r="J97" s="15">
        <f t="shared" si="1"/>
        <v>1698.9218328841</v>
      </c>
    </row>
    <row r="98" spans="1:10" ht="21" customHeight="1" x14ac:dyDescent="0.25">
      <c r="A98" s="7">
        <v>96</v>
      </c>
      <c r="B98" s="2" t="s">
        <v>191</v>
      </c>
      <c r="C98" s="8">
        <v>160</v>
      </c>
      <c r="D98" s="8">
        <v>218</v>
      </c>
      <c r="E98" s="8">
        <v>319.3</v>
      </c>
      <c r="F98" s="8">
        <v>742</v>
      </c>
      <c r="G98" s="8">
        <v>94</v>
      </c>
      <c r="H98" s="8">
        <v>0.81</v>
      </c>
      <c r="I98" s="16">
        <v>1740</v>
      </c>
      <c r="J98" s="15">
        <f t="shared" si="1"/>
        <v>2059.29919137466</v>
      </c>
    </row>
    <row r="99" spans="1:10" ht="21" customHeight="1" x14ac:dyDescent="0.25">
      <c r="A99" s="7">
        <v>97</v>
      </c>
      <c r="B99" s="2" t="s">
        <v>192</v>
      </c>
      <c r="C99" s="8">
        <v>185</v>
      </c>
      <c r="D99" s="8">
        <v>272</v>
      </c>
      <c r="E99" s="8">
        <v>368.4</v>
      </c>
      <c r="F99" s="8">
        <v>742</v>
      </c>
      <c r="G99" s="8">
        <v>94.2</v>
      </c>
      <c r="H99" s="8">
        <v>0.81</v>
      </c>
      <c r="I99" s="16">
        <v>1880</v>
      </c>
      <c r="J99" s="15">
        <f t="shared" si="1"/>
        <v>2381.0646900269498</v>
      </c>
    </row>
    <row r="100" spans="1:10" ht="21" customHeight="1" x14ac:dyDescent="0.25">
      <c r="A100" s="7">
        <v>98</v>
      </c>
      <c r="B100" s="10" t="s">
        <v>193</v>
      </c>
      <c r="C100" s="11">
        <v>200</v>
      </c>
      <c r="D100" s="11">
        <v>299</v>
      </c>
      <c r="E100" s="11">
        <v>397.8</v>
      </c>
      <c r="F100" s="11">
        <v>742</v>
      </c>
      <c r="G100" s="11">
        <v>94.3</v>
      </c>
      <c r="H100" s="11">
        <v>0.81</v>
      </c>
      <c r="I100" s="17">
        <v>1980</v>
      </c>
      <c r="J100" s="15">
        <f t="shared" si="1"/>
        <v>2574.1239892183298</v>
      </c>
    </row>
    <row r="101" spans="1:10" ht="21" customHeight="1" x14ac:dyDescent="0.25">
      <c r="A101" s="7">
        <v>99</v>
      </c>
      <c r="B101" s="5" t="s">
        <v>194</v>
      </c>
      <c r="C101" s="6">
        <v>90</v>
      </c>
      <c r="D101" s="6">
        <v>122.5</v>
      </c>
      <c r="E101" s="18">
        <v>191</v>
      </c>
      <c r="F101" s="6">
        <v>592</v>
      </c>
      <c r="G101" s="6">
        <v>93</v>
      </c>
      <c r="H101" s="6">
        <v>0.77</v>
      </c>
      <c r="I101" s="14">
        <v>1590</v>
      </c>
      <c r="J101" s="15">
        <f t="shared" si="1"/>
        <v>1451.8581081081099</v>
      </c>
    </row>
    <row r="102" spans="1:10" ht="21" customHeight="1" x14ac:dyDescent="0.25">
      <c r="A102" s="7">
        <v>100</v>
      </c>
      <c r="B102" s="2" t="s">
        <v>195</v>
      </c>
      <c r="C102" s="8">
        <v>110</v>
      </c>
      <c r="D102" s="8">
        <v>150</v>
      </c>
      <c r="E102" s="8">
        <v>229.9</v>
      </c>
      <c r="F102" s="8">
        <v>592</v>
      </c>
      <c r="G102" s="8">
        <v>93.2</v>
      </c>
      <c r="H102" s="8">
        <v>0.78</v>
      </c>
      <c r="I102" s="16">
        <v>1720</v>
      </c>
      <c r="J102" s="15">
        <f t="shared" si="1"/>
        <v>1774.4932432432399</v>
      </c>
    </row>
    <row r="103" spans="1:10" ht="21" customHeight="1" x14ac:dyDescent="0.25">
      <c r="A103" s="7">
        <v>101</v>
      </c>
      <c r="B103" s="10" t="s">
        <v>196</v>
      </c>
      <c r="C103" s="11">
        <v>132</v>
      </c>
      <c r="D103" s="11">
        <v>180</v>
      </c>
      <c r="E103" s="11">
        <v>275</v>
      </c>
      <c r="F103" s="11">
        <v>592</v>
      </c>
      <c r="G103" s="11">
        <v>93.5</v>
      </c>
      <c r="H103" s="11">
        <v>0.78</v>
      </c>
      <c r="I103" s="17">
        <v>1890</v>
      </c>
      <c r="J103" s="15">
        <f t="shared" si="1"/>
        <v>2129.3918918918898</v>
      </c>
    </row>
  </sheetData>
  <autoFilter ref="A2:J103" xr:uid="{00000000-0009-0000-0000-000001000000}"/>
  <mergeCells count="1">
    <mergeCell ref="A1:I1"/>
  </mergeCells>
  <phoneticPr fontId="10" type="noConversion"/>
  <hyperlinks>
    <hyperlink ref="J1" location="目录!A1" display="目录!A1" xr:uid="{00000000-0004-0000-0100-000000000000}"/>
  </hyperlink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41F-1497-4C56-9871-8BFE48E66D31}">
  <sheetPr codeName="Sheet7"/>
  <dimension ref="A1:K130"/>
  <sheetViews>
    <sheetView topLeftCell="A88" workbookViewId="0">
      <selection activeCell="C134" sqref="C134"/>
    </sheetView>
  </sheetViews>
  <sheetFormatPr defaultRowHeight="14.4" x14ac:dyDescent="0.25"/>
  <cols>
    <col min="1" max="1" width="15" bestFit="1" customWidth="1"/>
    <col min="2" max="4" width="11.5546875" bestFit="1" customWidth="1"/>
    <col min="5" max="7" width="13.88671875" bestFit="1" customWidth="1"/>
    <col min="8" max="8" width="11.5546875" bestFit="1" customWidth="1"/>
    <col min="9" max="9" width="11.6640625" bestFit="1" customWidth="1"/>
    <col min="10" max="11" width="12.6640625" bestFit="1" customWidth="1"/>
  </cols>
  <sheetData>
    <row r="1" spans="1:11" x14ac:dyDescent="0.25">
      <c r="A1" s="26" t="s">
        <v>340</v>
      </c>
      <c r="B1" s="27"/>
      <c r="C1" s="27"/>
      <c r="D1" s="27"/>
      <c r="E1" s="27"/>
      <c r="F1" s="27"/>
      <c r="G1" s="27"/>
      <c r="H1" s="27"/>
      <c r="I1" s="27"/>
      <c r="J1" s="28"/>
    </row>
    <row r="2" spans="1:11" x14ac:dyDescent="0.25">
      <c r="A2" s="29" t="s">
        <v>197</v>
      </c>
      <c r="B2" s="30" t="s">
        <v>198</v>
      </c>
      <c r="C2" s="30"/>
      <c r="D2" s="30" t="s">
        <v>199</v>
      </c>
      <c r="E2" s="30" t="s">
        <v>200</v>
      </c>
      <c r="F2" s="30" t="s">
        <v>241</v>
      </c>
      <c r="G2" s="31" t="s">
        <v>242</v>
      </c>
      <c r="H2" s="30" t="s">
        <v>243</v>
      </c>
      <c r="I2" s="30" t="s">
        <v>203</v>
      </c>
      <c r="J2" s="32"/>
      <c r="K2" s="25"/>
    </row>
    <row r="3" spans="1:11" x14ac:dyDescent="0.25">
      <c r="A3" s="33"/>
      <c r="B3" s="30"/>
      <c r="C3" s="30"/>
      <c r="D3" s="32"/>
      <c r="E3" s="32"/>
      <c r="F3" s="32"/>
      <c r="G3" s="34"/>
      <c r="H3" s="32"/>
      <c r="I3" s="35" t="s">
        <v>206</v>
      </c>
      <c r="J3" s="35" t="s">
        <v>207</v>
      </c>
      <c r="K3" s="25"/>
    </row>
    <row r="4" spans="1:11" x14ac:dyDescent="0.25">
      <c r="A4" s="36" t="s">
        <v>213</v>
      </c>
      <c r="B4" s="30" t="s">
        <v>214</v>
      </c>
      <c r="C4" s="30"/>
      <c r="D4" s="35" t="s">
        <v>214</v>
      </c>
      <c r="E4" s="35" t="s">
        <v>214</v>
      </c>
      <c r="F4" s="35" t="s">
        <v>215</v>
      </c>
      <c r="G4" s="37" t="s">
        <v>216</v>
      </c>
      <c r="H4" s="35" t="s">
        <v>244</v>
      </c>
      <c r="I4" s="35" t="s">
        <v>217</v>
      </c>
      <c r="J4" s="35" t="s">
        <v>217</v>
      </c>
      <c r="K4" s="25"/>
    </row>
    <row r="5" spans="1:11" x14ac:dyDescent="0.25">
      <c r="A5" s="38" t="s">
        <v>314</v>
      </c>
      <c r="B5" s="39">
        <v>0.7</v>
      </c>
      <c r="C5" s="39"/>
      <c r="D5" s="40">
        <v>1.5</v>
      </c>
      <c r="E5" s="40">
        <v>5.8</v>
      </c>
      <c r="F5" s="40">
        <v>53</v>
      </c>
      <c r="G5" s="41" t="s">
        <v>268</v>
      </c>
      <c r="H5" s="40">
        <v>3.5</v>
      </c>
      <c r="I5" s="40">
        <v>25</v>
      </c>
      <c r="J5" s="40">
        <v>35</v>
      </c>
      <c r="K5" s="25"/>
    </row>
    <row r="6" spans="1:11" x14ac:dyDescent="0.25">
      <c r="A6" s="38" t="s">
        <v>315</v>
      </c>
      <c r="B6" s="39">
        <v>0.7</v>
      </c>
      <c r="C6" s="39"/>
      <c r="D6" s="40">
        <v>1.5</v>
      </c>
      <c r="E6" s="40">
        <v>6.2</v>
      </c>
      <c r="F6" s="40">
        <v>68</v>
      </c>
      <c r="G6" s="41" t="s">
        <v>270</v>
      </c>
      <c r="H6" s="40">
        <v>3.5</v>
      </c>
      <c r="I6" s="40">
        <v>30</v>
      </c>
      <c r="J6" s="40">
        <v>45</v>
      </c>
      <c r="K6" s="25"/>
    </row>
    <row r="7" spans="1:11" x14ac:dyDescent="0.25">
      <c r="A7" s="38" t="s">
        <v>316</v>
      </c>
      <c r="B7" s="39">
        <v>0.7</v>
      </c>
      <c r="C7" s="39"/>
      <c r="D7" s="40">
        <v>1.5</v>
      </c>
      <c r="E7" s="40">
        <v>6.7</v>
      </c>
      <c r="F7" s="40">
        <v>87</v>
      </c>
      <c r="G7" s="41" t="s">
        <v>246</v>
      </c>
      <c r="H7" s="40">
        <v>3.5</v>
      </c>
      <c r="I7" s="40">
        <v>45</v>
      </c>
      <c r="J7" s="40">
        <v>60</v>
      </c>
      <c r="K7" s="25"/>
    </row>
    <row r="8" spans="1:11" x14ac:dyDescent="0.25">
      <c r="A8" s="38" t="s">
        <v>317</v>
      </c>
      <c r="B8" s="39">
        <v>0.7</v>
      </c>
      <c r="C8" s="39"/>
      <c r="D8" s="40">
        <v>1.5</v>
      </c>
      <c r="E8" s="40">
        <v>7.2</v>
      </c>
      <c r="F8" s="40">
        <v>110</v>
      </c>
      <c r="G8" s="41" t="s">
        <v>248</v>
      </c>
      <c r="H8" s="40">
        <v>3.5</v>
      </c>
      <c r="I8" s="40">
        <v>55</v>
      </c>
      <c r="J8" s="40">
        <v>70</v>
      </c>
      <c r="K8" s="25"/>
    </row>
    <row r="9" spans="1:11" x14ac:dyDescent="0.25">
      <c r="A9" s="38" t="s">
        <v>318</v>
      </c>
      <c r="B9" s="39">
        <v>0.7</v>
      </c>
      <c r="C9" s="39"/>
      <c r="D9" s="40">
        <v>1.5</v>
      </c>
      <c r="E9" s="40">
        <v>8</v>
      </c>
      <c r="F9" s="40">
        <v>115</v>
      </c>
      <c r="G9" s="41" t="s">
        <v>250</v>
      </c>
      <c r="H9" s="40">
        <v>3.5</v>
      </c>
      <c r="I9" s="40">
        <v>75</v>
      </c>
      <c r="J9" s="40">
        <v>95</v>
      </c>
      <c r="K9" s="25"/>
    </row>
    <row r="10" spans="1:11" x14ac:dyDescent="0.25">
      <c r="A10" s="38" t="s">
        <v>319</v>
      </c>
      <c r="B10" s="39">
        <v>0.7</v>
      </c>
      <c r="C10" s="39"/>
      <c r="D10" s="40">
        <v>1.5</v>
      </c>
      <c r="E10" s="40">
        <v>8.9</v>
      </c>
      <c r="F10" s="40">
        <v>220</v>
      </c>
      <c r="G10" s="41" t="s">
        <v>252</v>
      </c>
      <c r="H10" s="40">
        <v>3.5</v>
      </c>
      <c r="I10" s="40">
        <v>100</v>
      </c>
      <c r="J10" s="40">
        <v>125</v>
      </c>
      <c r="K10" s="25"/>
    </row>
    <row r="11" spans="1:11" x14ac:dyDescent="0.25">
      <c r="A11" s="38" t="s">
        <v>219</v>
      </c>
      <c r="B11" s="39">
        <v>0.9</v>
      </c>
      <c r="C11" s="39"/>
      <c r="D11" s="40">
        <v>1.5</v>
      </c>
      <c r="E11" s="40">
        <v>10.4</v>
      </c>
      <c r="F11" s="40">
        <v>345</v>
      </c>
      <c r="G11" s="41" t="s">
        <v>254</v>
      </c>
      <c r="H11" s="40">
        <v>3.5</v>
      </c>
      <c r="I11" s="40">
        <v>140</v>
      </c>
      <c r="J11" s="40">
        <v>160</v>
      </c>
      <c r="K11" s="25"/>
    </row>
    <row r="12" spans="1:11" x14ac:dyDescent="0.25">
      <c r="A12" s="38" t="s">
        <v>220</v>
      </c>
      <c r="B12" s="39">
        <v>0.9</v>
      </c>
      <c r="C12" s="39"/>
      <c r="D12" s="40">
        <v>1.5</v>
      </c>
      <c r="E12" s="40">
        <v>11.5</v>
      </c>
      <c r="F12" s="40">
        <v>424</v>
      </c>
      <c r="G12" s="41" t="s">
        <v>256</v>
      </c>
      <c r="H12" s="40">
        <v>3.5</v>
      </c>
      <c r="I12" s="40">
        <v>175</v>
      </c>
      <c r="J12" s="40">
        <v>190</v>
      </c>
      <c r="K12" s="25"/>
    </row>
    <row r="13" spans="1:11" x14ac:dyDescent="0.25">
      <c r="A13" s="38" t="s">
        <v>221</v>
      </c>
      <c r="B13" s="39">
        <v>1</v>
      </c>
      <c r="C13" s="39"/>
      <c r="D13" s="40">
        <v>1.5</v>
      </c>
      <c r="E13" s="40">
        <v>13</v>
      </c>
      <c r="F13" s="40">
        <v>55</v>
      </c>
      <c r="G13" s="41" t="s">
        <v>258</v>
      </c>
      <c r="H13" s="40">
        <v>3.5</v>
      </c>
      <c r="I13" s="40">
        <v>210</v>
      </c>
      <c r="J13" s="40">
        <v>225</v>
      </c>
      <c r="K13" s="25"/>
    </row>
    <row r="14" spans="1:11" x14ac:dyDescent="0.25">
      <c r="A14" s="38" t="s">
        <v>222</v>
      </c>
      <c r="B14" s="39">
        <v>1.1000000000000001</v>
      </c>
      <c r="C14" s="39"/>
      <c r="D14" s="40">
        <v>1.5</v>
      </c>
      <c r="E14" s="40">
        <v>14</v>
      </c>
      <c r="F14" s="40">
        <v>770</v>
      </c>
      <c r="G14" s="41" t="s">
        <v>260</v>
      </c>
      <c r="H14" s="40">
        <v>3.5</v>
      </c>
      <c r="I14" s="40">
        <v>270</v>
      </c>
      <c r="J14" s="40">
        <v>280</v>
      </c>
      <c r="K14" s="25"/>
    </row>
    <row r="15" spans="1:11" x14ac:dyDescent="0.25">
      <c r="A15" s="38" t="s">
        <v>223</v>
      </c>
      <c r="B15" s="39">
        <v>1.1000000000000001</v>
      </c>
      <c r="C15" s="39"/>
      <c r="D15" s="40">
        <v>1.5</v>
      </c>
      <c r="E15" s="40">
        <v>16.399999999999999</v>
      </c>
      <c r="F15" s="40">
        <v>1040</v>
      </c>
      <c r="G15" s="41" t="s">
        <v>262</v>
      </c>
      <c r="H15" s="40">
        <v>3.5</v>
      </c>
      <c r="I15" s="40">
        <v>340</v>
      </c>
      <c r="J15" s="40">
        <v>335</v>
      </c>
      <c r="K15" s="25"/>
    </row>
    <row r="16" spans="1:11" x14ac:dyDescent="0.25">
      <c r="A16" s="38" t="s">
        <v>224</v>
      </c>
      <c r="B16" s="39">
        <v>1.2</v>
      </c>
      <c r="C16" s="39"/>
      <c r="D16" s="40">
        <v>1.5</v>
      </c>
      <c r="E16" s="40">
        <v>17.8</v>
      </c>
      <c r="F16" s="40">
        <v>1290</v>
      </c>
      <c r="G16" s="41" t="s">
        <v>264</v>
      </c>
      <c r="H16" s="40">
        <v>3.5</v>
      </c>
      <c r="I16" s="40">
        <v>400</v>
      </c>
      <c r="J16" s="40">
        <v>380</v>
      </c>
      <c r="K16" s="25"/>
    </row>
    <row r="17" spans="1:11" x14ac:dyDescent="0.25">
      <c r="A17" s="38" t="s">
        <v>225</v>
      </c>
      <c r="B17" s="39">
        <v>1.4</v>
      </c>
      <c r="C17" s="39"/>
      <c r="D17" s="40">
        <v>2</v>
      </c>
      <c r="E17" s="40">
        <v>20.6</v>
      </c>
      <c r="F17" s="40">
        <v>1590</v>
      </c>
      <c r="G17" s="41" t="s">
        <v>266</v>
      </c>
      <c r="H17" s="40">
        <v>3.5</v>
      </c>
      <c r="I17" s="40">
        <v>460</v>
      </c>
      <c r="J17" s="40">
        <v>425</v>
      </c>
      <c r="K17" s="25"/>
    </row>
    <row r="18" spans="1:11" x14ac:dyDescent="0.25">
      <c r="A18" s="38" t="s">
        <v>226</v>
      </c>
      <c r="B18" s="39">
        <v>1.6</v>
      </c>
      <c r="C18" s="39"/>
      <c r="D18" s="40">
        <v>2</v>
      </c>
      <c r="E18" s="40">
        <v>22.5</v>
      </c>
      <c r="F18" s="40">
        <v>1944</v>
      </c>
      <c r="G18" s="41" t="s">
        <v>275</v>
      </c>
      <c r="H18" s="40">
        <v>3.5</v>
      </c>
      <c r="I18" s="40">
        <v>530</v>
      </c>
      <c r="J18" s="40">
        <v>480</v>
      </c>
      <c r="K18" s="25"/>
    </row>
    <row r="19" spans="1:11" x14ac:dyDescent="0.25">
      <c r="A19" s="38" t="s">
        <v>227</v>
      </c>
      <c r="B19" s="39">
        <v>1.7</v>
      </c>
      <c r="C19" s="39"/>
      <c r="D19" s="40">
        <v>2</v>
      </c>
      <c r="E19" s="40">
        <v>24.9</v>
      </c>
      <c r="F19" s="40">
        <v>2410</v>
      </c>
      <c r="G19" s="41" t="s">
        <v>276</v>
      </c>
      <c r="H19" s="40">
        <v>3.5</v>
      </c>
      <c r="I19" s="40">
        <v>625</v>
      </c>
      <c r="J19" s="40">
        <v>555</v>
      </c>
      <c r="K19" s="25"/>
    </row>
    <row r="20" spans="1:11" x14ac:dyDescent="0.25">
      <c r="A20" s="38" t="s">
        <v>228</v>
      </c>
      <c r="B20" s="39">
        <v>1.8</v>
      </c>
      <c r="C20" s="39"/>
      <c r="D20" s="40">
        <v>2.5</v>
      </c>
      <c r="E20" s="40">
        <v>27.3</v>
      </c>
      <c r="F20" s="40">
        <v>3076</v>
      </c>
      <c r="G20" s="41" t="s">
        <v>277</v>
      </c>
      <c r="H20" s="40">
        <v>3.5</v>
      </c>
      <c r="I20" s="40">
        <v>720</v>
      </c>
      <c r="J20" s="40">
        <v>630</v>
      </c>
      <c r="K20" s="25"/>
    </row>
    <row r="21" spans="1:11" x14ac:dyDescent="0.25">
      <c r="A21" s="38" t="s">
        <v>229</v>
      </c>
      <c r="B21" s="39">
        <v>2</v>
      </c>
      <c r="C21" s="39"/>
      <c r="D21" s="40">
        <v>2.5</v>
      </c>
      <c r="E21" s="40">
        <v>34.1</v>
      </c>
      <c r="F21" s="40">
        <v>3642</v>
      </c>
      <c r="G21" s="41" t="s">
        <v>320</v>
      </c>
      <c r="H21" s="40">
        <v>3.5</v>
      </c>
      <c r="I21" s="40">
        <v>815</v>
      </c>
      <c r="J21" s="40">
        <v>705</v>
      </c>
      <c r="K21" s="25"/>
    </row>
    <row r="22" spans="1:11" x14ac:dyDescent="0.25">
      <c r="A22" s="26" t="s">
        <v>341</v>
      </c>
      <c r="B22" s="27"/>
      <c r="C22" s="27"/>
      <c r="D22" s="27"/>
      <c r="E22" s="27"/>
      <c r="F22" s="27"/>
      <c r="G22" s="27"/>
      <c r="H22" s="27"/>
      <c r="I22" s="27"/>
      <c r="J22" s="28"/>
      <c r="K22" s="25"/>
    </row>
    <row r="23" spans="1:11" x14ac:dyDescent="0.25">
      <c r="A23" s="29" t="s">
        <v>197</v>
      </c>
      <c r="B23" s="30" t="s">
        <v>198</v>
      </c>
      <c r="C23" s="30"/>
      <c r="D23" s="30" t="s">
        <v>199</v>
      </c>
      <c r="E23" s="30" t="s">
        <v>200</v>
      </c>
      <c r="F23" s="30" t="s">
        <v>241</v>
      </c>
      <c r="G23" s="31" t="s">
        <v>242</v>
      </c>
      <c r="H23" s="30" t="s">
        <v>243</v>
      </c>
      <c r="I23" s="30" t="s">
        <v>203</v>
      </c>
      <c r="J23" s="32"/>
      <c r="K23" s="25"/>
    </row>
    <row r="24" spans="1:11" x14ac:dyDescent="0.25">
      <c r="A24" s="33"/>
      <c r="B24" s="30"/>
      <c r="C24" s="30"/>
      <c r="D24" s="32"/>
      <c r="E24" s="32"/>
      <c r="F24" s="32"/>
      <c r="G24" s="34"/>
      <c r="H24" s="32"/>
      <c r="I24" s="35" t="s">
        <v>206</v>
      </c>
      <c r="J24" s="35" t="s">
        <v>207</v>
      </c>
      <c r="K24" s="25"/>
    </row>
    <row r="25" spans="1:11" x14ac:dyDescent="0.25">
      <c r="A25" s="36" t="s">
        <v>213</v>
      </c>
      <c r="B25" s="30" t="s">
        <v>214</v>
      </c>
      <c r="C25" s="30"/>
      <c r="D25" s="35" t="s">
        <v>214</v>
      </c>
      <c r="E25" s="35" t="s">
        <v>214</v>
      </c>
      <c r="F25" s="35" t="s">
        <v>215</v>
      </c>
      <c r="G25" s="37" t="s">
        <v>216</v>
      </c>
      <c r="H25" s="35" t="s">
        <v>244</v>
      </c>
      <c r="I25" s="35" t="s">
        <v>217</v>
      </c>
      <c r="J25" s="35" t="s">
        <v>217</v>
      </c>
      <c r="K25" s="25"/>
    </row>
    <row r="26" spans="1:11" x14ac:dyDescent="0.25">
      <c r="A26" s="42" t="s">
        <v>321</v>
      </c>
      <c r="B26" s="43">
        <v>0.7</v>
      </c>
      <c r="C26" s="43"/>
      <c r="D26" s="44">
        <v>1.8</v>
      </c>
      <c r="E26" s="44">
        <v>9.4</v>
      </c>
      <c r="F26" s="44">
        <v>103</v>
      </c>
      <c r="G26" s="45" t="s">
        <v>268</v>
      </c>
      <c r="H26" s="44">
        <v>3.5</v>
      </c>
      <c r="I26" s="44">
        <v>25</v>
      </c>
      <c r="J26" s="44">
        <v>30</v>
      </c>
      <c r="K26" s="25"/>
    </row>
    <row r="27" spans="1:11" x14ac:dyDescent="0.25">
      <c r="A27" s="42" t="s">
        <v>322</v>
      </c>
      <c r="B27" s="43">
        <v>0.7</v>
      </c>
      <c r="C27" s="43"/>
      <c r="D27" s="44">
        <v>1.8</v>
      </c>
      <c r="E27" s="44">
        <v>10.199999999999999</v>
      </c>
      <c r="F27" s="44">
        <v>131</v>
      </c>
      <c r="G27" s="45" t="s">
        <v>270</v>
      </c>
      <c r="H27" s="44">
        <v>3.5</v>
      </c>
      <c r="I27" s="44">
        <v>30</v>
      </c>
      <c r="J27" s="44">
        <v>35</v>
      </c>
      <c r="K27" s="25"/>
    </row>
    <row r="28" spans="1:11" x14ac:dyDescent="0.25">
      <c r="A28" s="42" t="s">
        <v>245</v>
      </c>
      <c r="B28" s="43">
        <v>0.7</v>
      </c>
      <c r="C28" s="43"/>
      <c r="D28" s="44">
        <v>1.8</v>
      </c>
      <c r="E28" s="44">
        <v>11.2</v>
      </c>
      <c r="F28" s="44">
        <v>168</v>
      </c>
      <c r="G28" s="45" t="s">
        <v>246</v>
      </c>
      <c r="H28" s="44">
        <v>3.5</v>
      </c>
      <c r="I28" s="44">
        <v>40</v>
      </c>
      <c r="J28" s="44">
        <v>50</v>
      </c>
      <c r="K28" s="25"/>
    </row>
    <row r="29" spans="1:11" x14ac:dyDescent="0.25">
      <c r="A29" s="42" t="s">
        <v>247</v>
      </c>
      <c r="B29" s="43">
        <v>0.7</v>
      </c>
      <c r="C29" s="43"/>
      <c r="D29" s="44">
        <v>1.8</v>
      </c>
      <c r="E29" s="44">
        <v>12.2</v>
      </c>
      <c r="F29" s="44">
        <v>216</v>
      </c>
      <c r="G29" s="45" t="s">
        <v>248</v>
      </c>
      <c r="H29" s="44">
        <v>3.5</v>
      </c>
      <c r="I29" s="44">
        <v>50</v>
      </c>
      <c r="J29" s="44">
        <v>60</v>
      </c>
      <c r="K29" s="25"/>
    </row>
    <row r="30" spans="1:11" x14ac:dyDescent="0.25">
      <c r="A30" s="42" t="s">
        <v>249</v>
      </c>
      <c r="B30" s="43">
        <v>0.7</v>
      </c>
      <c r="C30" s="43"/>
      <c r="D30" s="44">
        <v>1.8</v>
      </c>
      <c r="E30" s="44">
        <v>15.2</v>
      </c>
      <c r="F30" s="44">
        <v>328</v>
      </c>
      <c r="G30" s="45" t="s">
        <v>250</v>
      </c>
      <c r="H30" s="44">
        <v>3.5</v>
      </c>
      <c r="I30" s="44">
        <v>65</v>
      </c>
      <c r="J30" s="44">
        <v>80</v>
      </c>
      <c r="K30" s="25"/>
    </row>
    <row r="31" spans="1:11" x14ac:dyDescent="0.25">
      <c r="A31" s="42" t="s">
        <v>251</v>
      </c>
      <c r="B31" s="43">
        <v>0.7</v>
      </c>
      <c r="C31" s="43"/>
      <c r="D31" s="44">
        <v>1.8</v>
      </c>
      <c r="E31" s="44">
        <v>17.3</v>
      </c>
      <c r="F31" s="44">
        <v>461</v>
      </c>
      <c r="G31" s="45" t="s">
        <v>252</v>
      </c>
      <c r="H31" s="44">
        <v>3.5</v>
      </c>
      <c r="I31" s="44">
        <v>85</v>
      </c>
      <c r="J31" s="44">
        <v>100</v>
      </c>
      <c r="K31" s="25"/>
    </row>
    <row r="32" spans="1:11" x14ac:dyDescent="0.25">
      <c r="A32" s="42" t="s">
        <v>253</v>
      </c>
      <c r="B32" s="43">
        <v>0.9</v>
      </c>
      <c r="C32" s="43"/>
      <c r="D32" s="44">
        <v>1.8</v>
      </c>
      <c r="E32" s="44">
        <v>20.399999999999999</v>
      </c>
      <c r="F32" s="44">
        <v>659</v>
      </c>
      <c r="G32" s="45" t="s">
        <v>254</v>
      </c>
      <c r="H32" s="44">
        <v>3.5</v>
      </c>
      <c r="I32" s="44">
        <v>115</v>
      </c>
      <c r="J32" s="44">
        <v>130</v>
      </c>
      <c r="K32" s="25"/>
    </row>
    <row r="33" spans="1:11" x14ac:dyDescent="0.25">
      <c r="A33" s="42" t="s">
        <v>255</v>
      </c>
      <c r="B33" s="43">
        <v>0.9</v>
      </c>
      <c r="C33" s="43"/>
      <c r="D33" s="44">
        <v>1.8</v>
      </c>
      <c r="E33" s="44">
        <v>22.4</v>
      </c>
      <c r="F33" s="44">
        <v>868</v>
      </c>
      <c r="G33" s="45" t="s">
        <v>256</v>
      </c>
      <c r="H33" s="44">
        <v>3.5</v>
      </c>
      <c r="I33" s="44">
        <v>145</v>
      </c>
      <c r="J33" s="44">
        <v>155</v>
      </c>
      <c r="K33" s="25"/>
    </row>
    <row r="34" spans="1:11" x14ac:dyDescent="0.25">
      <c r="A34" s="42" t="s">
        <v>257</v>
      </c>
      <c r="B34" s="43">
        <v>1</v>
      </c>
      <c r="C34" s="43"/>
      <c r="D34" s="44">
        <v>1.8</v>
      </c>
      <c r="E34" s="44">
        <v>20.2</v>
      </c>
      <c r="F34" s="44">
        <v>1116</v>
      </c>
      <c r="G34" s="45" t="s">
        <v>258</v>
      </c>
      <c r="H34" s="44">
        <v>3.5</v>
      </c>
      <c r="I34" s="44">
        <v>175</v>
      </c>
      <c r="J34" s="44">
        <v>185</v>
      </c>
      <c r="K34" s="25"/>
    </row>
    <row r="35" spans="1:11" x14ac:dyDescent="0.25">
      <c r="A35" s="42" t="s">
        <v>259</v>
      </c>
      <c r="B35" s="43">
        <v>1.1000000000000001</v>
      </c>
      <c r="C35" s="43"/>
      <c r="D35" s="44">
        <v>1.8</v>
      </c>
      <c r="E35" s="44">
        <v>22.5</v>
      </c>
      <c r="F35" s="44">
        <v>1514</v>
      </c>
      <c r="G35" s="45" t="s">
        <v>260</v>
      </c>
      <c r="H35" s="44">
        <v>3.5</v>
      </c>
      <c r="I35" s="44">
        <v>220</v>
      </c>
      <c r="J35" s="44">
        <v>225</v>
      </c>
      <c r="K35" s="25"/>
    </row>
    <row r="36" spans="1:11" x14ac:dyDescent="0.25">
      <c r="A36" s="42" t="s">
        <v>261</v>
      </c>
      <c r="B36" s="43">
        <v>1.1000000000000001</v>
      </c>
      <c r="C36" s="43"/>
      <c r="D36" s="44">
        <v>1.8</v>
      </c>
      <c r="E36" s="44">
        <v>25.4</v>
      </c>
      <c r="F36" s="44">
        <v>2017</v>
      </c>
      <c r="G36" s="45" t="s">
        <v>262</v>
      </c>
      <c r="H36" s="44">
        <v>3.5</v>
      </c>
      <c r="I36" s="44">
        <v>270</v>
      </c>
      <c r="J36" s="44">
        <v>270</v>
      </c>
      <c r="K36" s="25"/>
    </row>
    <row r="37" spans="1:11" x14ac:dyDescent="0.25">
      <c r="A37" s="42" t="s">
        <v>263</v>
      </c>
      <c r="B37" s="43">
        <v>1.2</v>
      </c>
      <c r="C37" s="43"/>
      <c r="D37" s="44">
        <v>1.9</v>
      </c>
      <c r="E37" s="44">
        <v>28.3</v>
      </c>
      <c r="F37" s="44">
        <v>2526</v>
      </c>
      <c r="G37" s="45" t="s">
        <v>264</v>
      </c>
      <c r="H37" s="44">
        <v>3.5</v>
      </c>
      <c r="I37" s="44">
        <v>315</v>
      </c>
      <c r="J37" s="44">
        <v>305</v>
      </c>
      <c r="K37" s="25"/>
    </row>
    <row r="38" spans="1:11" x14ac:dyDescent="0.25">
      <c r="A38" s="42" t="s">
        <v>265</v>
      </c>
      <c r="B38" s="43">
        <v>1.4</v>
      </c>
      <c r="C38" s="43"/>
      <c r="D38" s="44">
        <v>2</v>
      </c>
      <c r="E38" s="44">
        <v>31.3</v>
      </c>
      <c r="F38" s="44">
        <v>3139</v>
      </c>
      <c r="G38" s="45" t="s">
        <v>266</v>
      </c>
      <c r="H38" s="44">
        <v>3.5</v>
      </c>
      <c r="I38" s="44">
        <v>360</v>
      </c>
      <c r="J38" s="44">
        <v>345</v>
      </c>
      <c r="K38" s="25"/>
    </row>
    <row r="39" spans="1:11" x14ac:dyDescent="0.25">
      <c r="A39" s="26" t="s">
        <v>342</v>
      </c>
      <c r="B39" s="27"/>
      <c r="C39" s="27"/>
      <c r="D39" s="27"/>
      <c r="E39" s="27"/>
      <c r="F39" s="27"/>
      <c r="G39" s="27"/>
      <c r="H39" s="27"/>
      <c r="I39" s="27"/>
      <c r="J39" s="28"/>
      <c r="K39" s="25"/>
    </row>
    <row r="40" spans="1:11" x14ac:dyDescent="0.25">
      <c r="A40" s="29" t="s">
        <v>197</v>
      </c>
      <c r="B40" s="30" t="s">
        <v>198</v>
      </c>
      <c r="C40" s="30"/>
      <c r="D40" s="30" t="s">
        <v>199</v>
      </c>
      <c r="E40" s="30" t="s">
        <v>200</v>
      </c>
      <c r="F40" s="30" t="s">
        <v>241</v>
      </c>
      <c r="G40" s="31" t="s">
        <v>242</v>
      </c>
      <c r="H40" s="30" t="s">
        <v>243</v>
      </c>
      <c r="I40" s="30" t="s">
        <v>203</v>
      </c>
      <c r="J40" s="32"/>
      <c r="K40" s="25"/>
    </row>
    <row r="41" spans="1:11" x14ac:dyDescent="0.25">
      <c r="A41" s="33"/>
      <c r="B41" s="30"/>
      <c r="C41" s="30"/>
      <c r="D41" s="32"/>
      <c r="E41" s="32"/>
      <c r="F41" s="32"/>
      <c r="G41" s="34"/>
      <c r="H41" s="32"/>
      <c r="I41" s="35" t="s">
        <v>206</v>
      </c>
      <c r="J41" s="35" t="s">
        <v>207</v>
      </c>
      <c r="K41" s="25"/>
    </row>
    <row r="42" spans="1:11" x14ac:dyDescent="0.25">
      <c r="A42" s="36" t="s">
        <v>213</v>
      </c>
      <c r="B42" s="30" t="s">
        <v>214</v>
      </c>
      <c r="C42" s="30"/>
      <c r="D42" s="35" t="s">
        <v>214</v>
      </c>
      <c r="E42" s="35" t="s">
        <v>214</v>
      </c>
      <c r="F42" s="35" t="s">
        <v>215</v>
      </c>
      <c r="G42" s="37" t="s">
        <v>216</v>
      </c>
      <c r="H42" s="35" t="s">
        <v>244</v>
      </c>
      <c r="I42" s="35" t="s">
        <v>217</v>
      </c>
      <c r="J42" s="35" t="s">
        <v>217</v>
      </c>
      <c r="K42" s="25"/>
    </row>
    <row r="43" spans="1:11" x14ac:dyDescent="0.25">
      <c r="A43" s="42" t="s">
        <v>267</v>
      </c>
      <c r="B43" s="43">
        <v>0.7</v>
      </c>
      <c r="C43" s="43"/>
      <c r="D43" s="44">
        <v>1.5</v>
      </c>
      <c r="E43" s="44">
        <v>9.8000000000000007</v>
      </c>
      <c r="F43" s="44">
        <v>145</v>
      </c>
      <c r="G43" s="45" t="s">
        <v>268</v>
      </c>
      <c r="H43" s="44">
        <v>3.5</v>
      </c>
      <c r="I43" s="44">
        <v>25</v>
      </c>
      <c r="J43" s="44">
        <v>30</v>
      </c>
      <c r="K43" s="25"/>
    </row>
    <row r="44" spans="1:11" x14ac:dyDescent="0.25">
      <c r="A44" s="42" t="s">
        <v>269</v>
      </c>
      <c r="B44" s="43">
        <v>0.7</v>
      </c>
      <c r="C44" s="43"/>
      <c r="D44" s="44">
        <v>1.5</v>
      </c>
      <c r="E44" s="44">
        <v>10.7</v>
      </c>
      <c r="F44" s="44">
        <v>185</v>
      </c>
      <c r="G44" s="45" t="s">
        <v>270</v>
      </c>
      <c r="H44" s="44">
        <v>3.5</v>
      </c>
      <c r="I44" s="44">
        <v>30</v>
      </c>
      <c r="J44" s="44">
        <v>35</v>
      </c>
      <c r="K44" s="25"/>
    </row>
    <row r="45" spans="1:11" x14ac:dyDescent="0.25">
      <c r="A45" s="42" t="s">
        <v>271</v>
      </c>
      <c r="B45" s="43">
        <v>0.7</v>
      </c>
      <c r="C45" s="43"/>
      <c r="D45" s="44">
        <v>1.5</v>
      </c>
      <c r="E45" s="44">
        <v>11.8</v>
      </c>
      <c r="F45" s="44">
        <v>250</v>
      </c>
      <c r="G45" s="45" t="s">
        <v>246</v>
      </c>
      <c r="H45" s="44">
        <v>3.5</v>
      </c>
      <c r="I45" s="44">
        <v>40</v>
      </c>
      <c r="J45" s="44">
        <v>50</v>
      </c>
      <c r="K45" s="25"/>
    </row>
    <row r="46" spans="1:11" x14ac:dyDescent="0.25">
      <c r="A46" s="42" t="s">
        <v>272</v>
      </c>
      <c r="B46" s="43">
        <v>0.7</v>
      </c>
      <c r="C46" s="43"/>
      <c r="D46" s="44">
        <v>1.5</v>
      </c>
      <c r="E46" s="44">
        <v>12.9</v>
      </c>
      <c r="F46" s="44">
        <v>320</v>
      </c>
      <c r="G46" s="45" t="s">
        <v>248</v>
      </c>
      <c r="H46" s="44">
        <v>3.5</v>
      </c>
      <c r="I46" s="44">
        <v>50</v>
      </c>
      <c r="J46" s="44">
        <v>60</v>
      </c>
      <c r="K46" s="25"/>
    </row>
    <row r="47" spans="1:11" x14ac:dyDescent="0.25">
      <c r="A47" s="42" t="s">
        <v>273</v>
      </c>
      <c r="B47" s="43">
        <v>0.7</v>
      </c>
      <c r="C47" s="43"/>
      <c r="D47" s="44">
        <v>1.5</v>
      </c>
      <c r="E47" s="44">
        <v>14.6</v>
      </c>
      <c r="F47" s="44">
        <v>450</v>
      </c>
      <c r="G47" s="45" t="s">
        <v>250</v>
      </c>
      <c r="H47" s="44">
        <v>3.5</v>
      </c>
      <c r="I47" s="44">
        <v>65</v>
      </c>
      <c r="J47" s="44">
        <v>80</v>
      </c>
      <c r="K47" s="25"/>
    </row>
    <row r="48" spans="1:11" x14ac:dyDescent="0.25">
      <c r="A48" s="42" t="s">
        <v>274</v>
      </c>
      <c r="B48" s="43">
        <v>0.7</v>
      </c>
      <c r="C48" s="43"/>
      <c r="D48" s="44">
        <v>1.5</v>
      </c>
      <c r="E48" s="44">
        <v>16.5</v>
      </c>
      <c r="F48" s="44">
        <v>640</v>
      </c>
      <c r="G48" s="45" t="s">
        <v>252</v>
      </c>
      <c r="H48" s="44">
        <v>3.5</v>
      </c>
      <c r="I48" s="44">
        <v>85</v>
      </c>
      <c r="J48" s="44">
        <v>100</v>
      </c>
      <c r="K48" s="25"/>
    </row>
    <row r="49" spans="1:11" x14ac:dyDescent="0.25">
      <c r="A49" s="42" t="s">
        <v>230</v>
      </c>
      <c r="B49" s="43">
        <v>0.9</v>
      </c>
      <c r="C49" s="43"/>
      <c r="D49" s="44">
        <v>2</v>
      </c>
      <c r="E49" s="44">
        <v>20.8</v>
      </c>
      <c r="F49" s="44">
        <v>940</v>
      </c>
      <c r="G49" s="45" t="s">
        <v>254</v>
      </c>
      <c r="H49" s="44">
        <v>3.5</v>
      </c>
      <c r="I49" s="44">
        <v>115</v>
      </c>
      <c r="J49" s="44">
        <v>130</v>
      </c>
      <c r="K49" s="25"/>
    </row>
    <row r="50" spans="1:11" x14ac:dyDescent="0.25">
      <c r="A50" s="42" t="s">
        <v>232</v>
      </c>
      <c r="B50" s="43">
        <v>0.9</v>
      </c>
      <c r="C50" s="43"/>
      <c r="D50" s="44">
        <v>2</v>
      </c>
      <c r="E50" s="44">
        <v>23.2</v>
      </c>
      <c r="F50" s="44">
        <v>1260</v>
      </c>
      <c r="G50" s="46" t="s">
        <v>343</v>
      </c>
      <c r="H50" s="44">
        <v>3.5</v>
      </c>
      <c r="I50" s="44">
        <v>145</v>
      </c>
      <c r="J50" s="44">
        <v>155</v>
      </c>
      <c r="K50" s="25"/>
    </row>
    <row r="51" spans="1:11" x14ac:dyDescent="0.25">
      <c r="A51" s="42" t="s">
        <v>233</v>
      </c>
      <c r="B51" s="43">
        <v>1</v>
      </c>
      <c r="C51" s="43"/>
      <c r="D51" s="44">
        <v>2</v>
      </c>
      <c r="E51" s="44">
        <v>26.4</v>
      </c>
      <c r="F51" s="44">
        <v>1670</v>
      </c>
      <c r="G51" s="45" t="s">
        <v>258</v>
      </c>
      <c r="H51" s="44">
        <v>3.5</v>
      </c>
      <c r="I51" s="44">
        <v>175</v>
      </c>
      <c r="J51" s="44">
        <v>185</v>
      </c>
      <c r="K51" s="25"/>
    </row>
    <row r="52" spans="1:11" x14ac:dyDescent="0.25">
      <c r="A52" s="42" t="s">
        <v>234</v>
      </c>
      <c r="B52" s="43">
        <v>1.1000000000000001</v>
      </c>
      <c r="C52" s="43"/>
      <c r="D52" s="44">
        <v>2</v>
      </c>
      <c r="E52" s="44">
        <v>29.9</v>
      </c>
      <c r="F52" s="44">
        <v>2280</v>
      </c>
      <c r="G52" s="45" t="s">
        <v>260</v>
      </c>
      <c r="H52" s="44">
        <v>3.5</v>
      </c>
      <c r="I52" s="44">
        <v>220</v>
      </c>
      <c r="J52" s="44">
        <v>225</v>
      </c>
      <c r="K52" s="25"/>
    </row>
    <row r="53" spans="1:11" x14ac:dyDescent="0.25">
      <c r="A53" s="42" t="s">
        <v>235</v>
      </c>
      <c r="B53" s="43">
        <v>1.1000000000000001</v>
      </c>
      <c r="C53" s="43"/>
      <c r="D53" s="44">
        <v>2</v>
      </c>
      <c r="E53" s="44">
        <v>33.299999999999997</v>
      </c>
      <c r="F53" s="44">
        <v>3020</v>
      </c>
      <c r="G53" s="45" t="s">
        <v>262</v>
      </c>
      <c r="H53" s="44">
        <v>3.5</v>
      </c>
      <c r="I53" s="44">
        <v>270</v>
      </c>
      <c r="J53" s="44">
        <v>270</v>
      </c>
      <c r="K53" s="25"/>
    </row>
    <row r="54" spans="1:11" x14ac:dyDescent="0.25">
      <c r="A54" s="42" t="s">
        <v>236</v>
      </c>
      <c r="B54" s="43">
        <v>1.2</v>
      </c>
      <c r="C54" s="43"/>
      <c r="D54" s="44">
        <v>2.5</v>
      </c>
      <c r="E54" s="44">
        <v>37.799999999999997</v>
      </c>
      <c r="F54" s="44">
        <v>3795</v>
      </c>
      <c r="G54" s="45" t="s">
        <v>264</v>
      </c>
      <c r="H54" s="44">
        <v>3.5</v>
      </c>
      <c r="I54" s="44">
        <v>315</v>
      </c>
      <c r="J54" s="44">
        <v>305</v>
      </c>
      <c r="K54" s="25"/>
    </row>
    <row r="55" spans="1:11" x14ac:dyDescent="0.25">
      <c r="A55" s="42" t="s">
        <v>237</v>
      </c>
      <c r="B55" s="43">
        <v>1.4</v>
      </c>
      <c r="C55" s="43"/>
      <c r="D55" s="44">
        <v>2.5</v>
      </c>
      <c r="E55" s="44">
        <v>41.7</v>
      </c>
      <c r="F55" s="44">
        <v>4750</v>
      </c>
      <c r="G55" s="45" t="s">
        <v>266</v>
      </c>
      <c r="H55" s="44">
        <v>3.5</v>
      </c>
      <c r="I55" s="44">
        <v>360</v>
      </c>
      <c r="J55" s="44">
        <v>345</v>
      </c>
      <c r="K55" s="25"/>
    </row>
    <row r="56" spans="1:11" x14ac:dyDescent="0.25">
      <c r="A56" s="42" t="s">
        <v>238</v>
      </c>
      <c r="B56" s="43">
        <v>1.6</v>
      </c>
      <c r="C56" s="43"/>
      <c r="D56" s="44">
        <v>2.5</v>
      </c>
      <c r="E56" s="44">
        <v>44.6</v>
      </c>
      <c r="F56" s="44">
        <v>5654</v>
      </c>
      <c r="G56" s="45" t="s">
        <v>275</v>
      </c>
      <c r="H56" s="44">
        <v>3.5</v>
      </c>
      <c r="I56" s="44">
        <v>420</v>
      </c>
      <c r="J56" s="44">
        <v>390</v>
      </c>
      <c r="K56" s="25"/>
    </row>
    <row r="57" spans="1:11" x14ac:dyDescent="0.25">
      <c r="A57" s="42" t="s">
        <v>239</v>
      </c>
      <c r="B57" s="43">
        <v>1.7</v>
      </c>
      <c r="C57" s="43"/>
      <c r="D57" s="44">
        <v>2.5</v>
      </c>
      <c r="E57" s="44">
        <v>50.1</v>
      </c>
      <c r="F57" s="44">
        <v>7243</v>
      </c>
      <c r="G57" s="45" t="s">
        <v>276</v>
      </c>
      <c r="H57" s="44">
        <v>3.5</v>
      </c>
      <c r="I57" s="44">
        <v>500</v>
      </c>
      <c r="J57" s="44">
        <v>455</v>
      </c>
      <c r="K57" s="25"/>
    </row>
    <row r="58" spans="1:11" x14ac:dyDescent="0.25">
      <c r="A58" s="42" t="s">
        <v>240</v>
      </c>
      <c r="B58" s="43">
        <v>1.8</v>
      </c>
      <c r="C58" s="43"/>
      <c r="D58" s="44">
        <v>3</v>
      </c>
      <c r="E58" s="44">
        <v>55.6</v>
      </c>
      <c r="F58" s="44">
        <v>8832</v>
      </c>
      <c r="G58" s="45" t="s">
        <v>277</v>
      </c>
      <c r="H58" s="44">
        <v>3.5</v>
      </c>
      <c r="I58" s="44">
        <v>580</v>
      </c>
      <c r="J58" s="44">
        <v>520</v>
      </c>
      <c r="K58" s="25"/>
    </row>
    <row r="59" spans="1:11" x14ac:dyDescent="0.25">
      <c r="A59" s="26" t="s">
        <v>344</v>
      </c>
      <c r="B59" s="27"/>
      <c r="C59" s="27"/>
      <c r="D59" s="27"/>
      <c r="E59" s="27"/>
      <c r="F59" s="27"/>
      <c r="G59" s="27"/>
      <c r="H59" s="27"/>
      <c r="I59" s="27"/>
      <c r="J59" s="28"/>
      <c r="K59" s="25"/>
    </row>
    <row r="60" spans="1:11" x14ac:dyDescent="0.25">
      <c r="A60" s="29" t="s">
        <v>197</v>
      </c>
      <c r="B60" s="30" t="s">
        <v>198</v>
      </c>
      <c r="C60" s="30"/>
      <c r="D60" s="30" t="s">
        <v>199</v>
      </c>
      <c r="E60" s="30" t="s">
        <v>200</v>
      </c>
      <c r="F60" s="30" t="s">
        <v>241</v>
      </c>
      <c r="G60" s="31" t="s">
        <v>242</v>
      </c>
      <c r="H60" s="30" t="s">
        <v>243</v>
      </c>
      <c r="I60" s="30" t="s">
        <v>203</v>
      </c>
      <c r="J60" s="32"/>
      <c r="K60" s="25"/>
    </row>
    <row r="61" spans="1:11" x14ac:dyDescent="0.25">
      <c r="A61" s="33"/>
      <c r="B61" s="30"/>
      <c r="C61" s="30"/>
      <c r="D61" s="32"/>
      <c r="E61" s="32"/>
      <c r="F61" s="32"/>
      <c r="G61" s="34"/>
      <c r="H61" s="32"/>
      <c r="I61" s="35" t="s">
        <v>206</v>
      </c>
      <c r="J61" s="35" t="s">
        <v>207</v>
      </c>
      <c r="K61" s="25"/>
    </row>
    <row r="62" spans="1:11" x14ac:dyDescent="0.25">
      <c r="A62" s="36" t="s">
        <v>213</v>
      </c>
      <c r="B62" s="30" t="s">
        <v>214</v>
      </c>
      <c r="C62" s="30"/>
      <c r="D62" s="35" t="s">
        <v>214</v>
      </c>
      <c r="E62" s="35" t="s">
        <v>214</v>
      </c>
      <c r="F62" s="35" t="s">
        <v>215</v>
      </c>
      <c r="G62" s="37" t="s">
        <v>216</v>
      </c>
      <c r="H62" s="35" t="s">
        <v>244</v>
      </c>
      <c r="I62" s="35" t="s">
        <v>217</v>
      </c>
      <c r="J62" s="35" t="s">
        <v>217</v>
      </c>
      <c r="K62" s="25"/>
    </row>
    <row r="63" spans="1:11" x14ac:dyDescent="0.25">
      <c r="A63" s="42" t="s">
        <v>323</v>
      </c>
      <c r="B63" s="43">
        <v>0.7</v>
      </c>
      <c r="C63" s="43"/>
      <c r="D63" s="44">
        <v>1.5</v>
      </c>
      <c r="E63" s="44">
        <v>10.6</v>
      </c>
      <c r="F63" s="44">
        <v>139</v>
      </c>
      <c r="G63" s="45" t="s">
        <v>268</v>
      </c>
      <c r="H63" s="44">
        <v>3.5</v>
      </c>
      <c r="I63" s="44">
        <v>21</v>
      </c>
      <c r="J63" s="44">
        <v>26</v>
      </c>
      <c r="K63" s="25"/>
    </row>
    <row r="64" spans="1:11" x14ac:dyDescent="0.25">
      <c r="A64" s="42" t="s">
        <v>324</v>
      </c>
      <c r="B64" s="43">
        <v>0.7</v>
      </c>
      <c r="C64" s="43"/>
      <c r="D64" s="44">
        <v>1.5</v>
      </c>
      <c r="E64" s="44">
        <v>11.5</v>
      </c>
      <c r="F64" s="44">
        <v>150</v>
      </c>
      <c r="G64" s="45" t="s">
        <v>270</v>
      </c>
      <c r="H64" s="44">
        <v>3.5</v>
      </c>
      <c r="I64" s="44">
        <v>28</v>
      </c>
      <c r="J64" s="44">
        <v>35</v>
      </c>
      <c r="K64" s="25"/>
    </row>
    <row r="65" spans="1:11" x14ac:dyDescent="0.25">
      <c r="A65" s="42" t="s">
        <v>325</v>
      </c>
      <c r="B65" s="43">
        <v>0.7</v>
      </c>
      <c r="C65" s="43"/>
      <c r="D65" s="44">
        <v>1.5</v>
      </c>
      <c r="E65" s="44">
        <v>12.8</v>
      </c>
      <c r="F65" s="44">
        <v>253</v>
      </c>
      <c r="G65" s="45" t="s">
        <v>246</v>
      </c>
      <c r="H65" s="44">
        <v>3.5</v>
      </c>
      <c r="I65" s="44">
        <v>37</v>
      </c>
      <c r="J65" s="44">
        <v>46</v>
      </c>
      <c r="K65" s="25"/>
    </row>
    <row r="66" spans="1:11" x14ac:dyDescent="0.25">
      <c r="A66" s="42" t="s">
        <v>326</v>
      </c>
      <c r="B66" s="43">
        <v>0.7</v>
      </c>
      <c r="C66" s="43"/>
      <c r="D66" s="44">
        <v>1.5</v>
      </c>
      <c r="E66" s="44">
        <v>14</v>
      </c>
      <c r="F66" s="44">
        <v>337</v>
      </c>
      <c r="G66" s="45" t="s">
        <v>248</v>
      </c>
      <c r="H66" s="44">
        <v>3.5</v>
      </c>
      <c r="I66" s="44">
        <v>47</v>
      </c>
      <c r="J66" s="44">
        <v>56</v>
      </c>
      <c r="K66" s="25"/>
    </row>
    <row r="67" spans="1:11" x14ac:dyDescent="0.25">
      <c r="A67" s="42" t="s">
        <v>327</v>
      </c>
      <c r="B67" s="43">
        <v>0.7</v>
      </c>
      <c r="C67" s="43"/>
      <c r="D67" s="44">
        <v>1.5</v>
      </c>
      <c r="E67" s="44">
        <v>15.9</v>
      </c>
      <c r="F67" s="44">
        <v>501</v>
      </c>
      <c r="G67" s="45" t="s">
        <v>250</v>
      </c>
      <c r="H67" s="44">
        <v>3.5</v>
      </c>
      <c r="I67" s="44">
        <v>64</v>
      </c>
      <c r="J67" s="44">
        <v>76</v>
      </c>
      <c r="K67" s="25"/>
    </row>
    <row r="68" spans="1:11" x14ac:dyDescent="0.25">
      <c r="A68" s="42" t="s">
        <v>328</v>
      </c>
      <c r="B68" s="43">
        <v>0.7</v>
      </c>
      <c r="C68" s="43"/>
      <c r="D68" s="44">
        <v>2</v>
      </c>
      <c r="E68" s="44">
        <v>19.100000000000001</v>
      </c>
      <c r="F68" s="44">
        <v>778</v>
      </c>
      <c r="G68" s="45" t="s">
        <v>252</v>
      </c>
      <c r="H68" s="44">
        <v>3.5</v>
      </c>
      <c r="I68" s="44">
        <v>84</v>
      </c>
      <c r="J68" s="44">
        <v>98</v>
      </c>
      <c r="K68" s="25"/>
    </row>
    <row r="69" spans="1:11" x14ac:dyDescent="0.25">
      <c r="A69" s="42" t="s">
        <v>329</v>
      </c>
      <c r="B69" s="43">
        <v>0.9</v>
      </c>
      <c r="C69" s="43"/>
      <c r="D69" s="44">
        <v>2</v>
      </c>
      <c r="E69" s="44">
        <v>22.7</v>
      </c>
      <c r="F69" s="44">
        <v>1160</v>
      </c>
      <c r="G69" s="45" t="s">
        <v>254</v>
      </c>
      <c r="H69" s="44">
        <v>3.5</v>
      </c>
      <c r="I69" s="44">
        <v>115</v>
      </c>
      <c r="J69" s="44">
        <v>126</v>
      </c>
      <c r="K69" s="25"/>
    </row>
    <row r="70" spans="1:11" x14ac:dyDescent="0.25">
      <c r="A70" s="42" t="s">
        <v>330</v>
      </c>
      <c r="B70" s="43">
        <v>0.9</v>
      </c>
      <c r="C70" s="43"/>
      <c r="D70" s="44">
        <v>2</v>
      </c>
      <c r="E70" s="44">
        <v>25.4</v>
      </c>
      <c r="F70" s="44">
        <v>1554</v>
      </c>
      <c r="G70" s="45" t="s">
        <v>256</v>
      </c>
      <c r="H70" s="44">
        <v>3.5</v>
      </c>
      <c r="I70" s="44">
        <v>141</v>
      </c>
      <c r="J70" s="44">
        <v>152</v>
      </c>
      <c r="K70" s="25"/>
    </row>
    <row r="71" spans="1:11" x14ac:dyDescent="0.25">
      <c r="A71" s="42" t="s">
        <v>331</v>
      </c>
      <c r="B71" s="43">
        <v>1</v>
      </c>
      <c r="C71" s="43"/>
      <c r="D71" s="44">
        <v>2</v>
      </c>
      <c r="E71" s="44">
        <v>29</v>
      </c>
      <c r="F71" s="44">
        <v>2148</v>
      </c>
      <c r="G71" s="45" t="s">
        <v>258</v>
      </c>
      <c r="H71" s="44">
        <v>3.5</v>
      </c>
      <c r="I71" s="44">
        <v>172</v>
      </c>
      <c r="J71" s="44">
        <v>181</v>
      </c>
      <c r="K71" s="25"/>
    </row>
    <row r="72" spans="1:11" x14ac:dyDescent="0.25">
      <c r="A72" s="42" t="s">
        <v>332</v>
      </c>
      <c r="B72" s="43">
        <v>1.1000000000000001</v>
      </c>
      <c r="C72" s="43"/>
      <c r="D72" s="44">
        <v>2</v>
      </c>
      <c r="E72" s="44">
        <v>32.9</v>
      </c>
      <c r="F72" s="44">
        <v>2928</v>
      </c>
      <c r="G72" s="45" t="s">
        <v>260</v>
      </c>
      <c r="H72" s="44">
        <v>3.5</v>
      </c>
      <c r="I72" s="44">
        <v>218</v>
      </c>
      <c r="J72" s="44">
        <v>222</v>
      </c>
      <c r="K72" s="25"/>
    </row>
    <row r="73" spans="1:11" x14ac:dyDescent="0.25">
      <c r="A73" s="42" t="s">
        <v>333</v>
      </c>
      <c r="B73" s="43">
        <v>1.1000000000000001</v>
      </c>
      <c r="C73" s="43"/>
      <c r="D73" s="44">
        <v>2.5</v>
      </c>
      <c r="E73" s="44">
        <v>37.700000000000003</v>
      </c>
      <c r="F73" s="44">
        <v>3954</v>
      </c>
      <c r="G73" s="45" t="s">
        <v>262</v>
      </c>
      <c r="H73" s="44">
        <v>3.5</v>
      </c>
      <c r="I73" s="44">
        <v>369</v>
      </c>
      <c r="J73" s="44">
        <v>267</v>
      </c>
      <c r="K73" s="25"/>
    </row>
    <row r="74" spans="1:11" x14ac:dyDescent="0.25">
      <c r="A74" s="42" t="s">
        <v>334</v>
      </c>
      <c r="B74" s="43">
        <v>1.2</v>
      </c>
      <c r="C74" s="43"/>
      <c r="D74" s="44">
        <v>2.5</v>
      </c>
      <c r="E74" s="44">
        <v>41.6</v>
      </c>
      <c r="F74" s="44">
        <v>4925</v>
      </c>
      <c r="G74" s="45" t="s">
        <v>264</v>
      </c>
      <c r="H74" s="44">
        <v>3.5</v>
      </c>
      <c r="I74" s="44">
        <v>313</v>
      </c>
      <c r="J74" s="44">
        <v>305</v>
      </c>
      <c r="K74" s="25"/>
    </row>
    <row r="75" spans="1:11" x14ac:dyDescent="0.25">
      <c r="A75" s="42" t="s">
        <v>335</v>
      </c>
      <c r="B75" s="43">
        <v>1.4</v>
      </c>
      <c r="C75" s="43"/>
      <c r="D75" s="44">
        <v>3</v>
      </c>
      <c r="E75" s="44">
        <v>47.6</v>
      </c>
      <c r="F75" s="44">
        <v>6238</v>
      </c>
      <c r="G75" s="45" t="s">
        <v>266</v>
      </c>
      <c r="H75" s="44">
        <v>3.5</v>
      </c>
      <c r="I75" s="44">
        <v>359</v>
      </c>
      <c r="J75" s="44">
        <v>344</v>
      </c>
      <c r="K75" s="25"/>
    </row>
    <row r="76" spans="1:11" x14ac:dyDescent="0.25">
      <c r="A76" s="42" t="s">
        <v>336</v>
      </c>
      <c r="B76" s="43">
        <v>1.6</v>
      </c>
      <c r="C76" s="43"/>
      <c r="D76" s="44">
        <v>3</v>
      </c>
      <c r="E76" s="44">
        <v>50.6</v>
      </c>
      <c r="F76" s="44">
        <v>7562</v>
      </c>
      <c r="G76" s="45" t="s">
        <v>275</v>
      </c>
      <c r="H76" s="44">
        <v>3.5</v>
      </c>
      <c r="I76" s="44">
        <v>405</v>
      </c>
      <c r="J76" s="44">
        <v>383</v>
      </c>
      <c r="K76" s="25"/>
    </row>
    <row r="77" spans="1:11" x14ac:dyDescent="0.25">
      <c r="A77" s="42" t="s">
        <v>337</v>
      </c>
      <c r="B77" s="43">
        <v>1.7</v>
      </c>
      <c r="C77" s="43"/>
      <c r="D77" s="44">
        <v>3</v>
      </c>
      <c r="E77" s="44">
        <v>56.4</v>
      </c>
      <c r="F77" s="44">
        <v>9660</v>
      </c>
      <c r="G77" s="45" t="s">
        <v>276</v>
      </c>
      <c r="H77" s="44">
        <v>3.5</v>
      </c>
      <c r="I77" s="44">
        <v>451</v>
      </c>
      <c r="J77" s="44">
        <v>422</v>
      </c>
      <c r="K77" s="25"/>
    </row>
    <row r="78" spans="1:11" x14ac:dyDescent="0.25">
      <c r="A78" s="42" t="s">
        <v>338</v>
      </c>
      <c r="B78" s="43">
        <v>1.8</v>
      </c>
      <c r="C78" s="43"/>
      <c r="D78" s="44">
        <v>3.5</v>
      </c>
      <c r="E78" s="44">
        <v>62.2</v>
      </c>
      <c r="F78" s="44">
        <v>11758</v>
      </c>
      <c r="G78" s="45" t="s">
        <v>277</v>
      </c>
      <c r="H78" s="44">
        <v>3.5</v>
      </c>
      <c r="I78" s="44">
        <v>497</v>
      </c>
      <c r="J78" s="44">
        <v>461</v>
      </c>
      <c r="K78" s="25"/>
    </row>
    <row r="79" spans="1:11" x14ac:dyDescent="0.25">
      <c r="A79" s="26" t="s">
        <v>345</v>
      </c>
      <c r="B79" s="27"/>
      <c r="C79" s="27"/>
      <c r="D79" s="27"/>
      <c r="E79" s="27"/>
      <c r="F79" s="27"/>
      <c r="G79" s="27"/>
      <c r="H79" s="27"/>
      <c r="I79" s="27"/>
      <c r="J79" s="28"/>
      <c r="K79" s="25"/>
    </row>
    <row r="80" spans="1:11" x14ac:dyDescent="0.25">
      <c r="A80" s="29" t="s">
        <v>197</v>
      </c>
      <c r="B80" s="30" t="s">
        <v>198</v>
      </c>
      <c r="C80" s="30"/>
      <c r="D80" s="30" t="s">
        <v>199</v>
      </c>
      <c r="E80" s="30" t="s">
        <v>200</v>
      </c>
      <c r="F80" s="30" t="s">
        <v>241</v>
      </c>
      <c r="G80" s="31" t="s">
        <v>242</v>
      </c>
      <c r="H80" s="30" t="s">
        <v>243</v>
      </c>
      <c r="I80" s="30" t="s">
        <v>203</v>
      </c>
      <c r="J80" s="32"/>
      <c r="K80" s="25"/>
    </row>
    <row r="81" spans="1:11" x14ac:dyDescent="0.25">
      <c r="A81" s="33"/>
      <c r="B81" s="30"/>
      <c r="C81" s="30"/>
      <c r="D81" s="32"/>
      <c r="E81" s="32"/>
      <c r="F81" s="32"/>
      <c r="G81" s="34"/>
      <c r="H81" s="32"/>
      <c r="I81" s="35" t="s">
        <v>206</v>
      </c>
      <c r="J81" s="35" t="s">
        <v>207</v>
      </c>
      <c r="K81" s="25"/>
    </row>
    <row r="82" spans="1:11" x14ac:dyDescent="0.25">
      <c r="A82" s="36" t="s">
        <v>213</v>
      </c>
      <c r="B82" s="30" t="s">
        <v>214</v>
      </c>
      <c r="C82" s="30"/>
      <c r="D82" s="35" t="s">
        <v>214</v>
      </c>
      <c r="E82" s="35" t="s">
        <v>214</v>
      </c>
      <c r="F82" s="35" t="s">
        <v>215</v>
      </c>
      <c r="G82" s="37" t="s">
        <v>216</v>
      </c>
      <c r="H82" s="35" t="s">
        <v>244</v>
      </c>
      <c r="I82" s="35" t="s">
        <v>217</v>
      </c>
      <c r="J82" s="35" t="s">
        <v>217</v>
      </c>
      <c r="K82" s="25"/>
    </row>
    <row r="83" spans="1:11" x14ac:dyDescent="0.25">
      <c r="A83" s="42" t="s">
        <v>339</v>
      </c>
      <c r="B83" s="43">
        <v>0.7</v>
      </c>
      <c r="C83" s="43"/>
      <c r="D83" s="44">
        <v>1.8</v>
      </c>
      <c r="E83" s="44">
        <v>12.4</v>
      </c>
      <c r="F83" s="44">
        <v>192</v>
      </c>
      <c r="G83" s="45" t="s">
        <v>268</v>
      </c>
      <c r="H83" s="44">
        <v>3.5</v>
      </c>
      <c r="I83" s="44">
        <v>21</v>
      </c>
      <c r="J83" s="44">
        <v>25</v>
      </c>
      <c r="K83" s="25"/>
    </row>
    <row r="84" spans="1:11" x14ac:dyDescent="0.25">
      <c r="A84" s="42" t="s">
        <v>278</v>
      </c>
      <c r="B84" s="43">
        <v>0.7</v>
      </c>
      <c r="C84" s="43"/>
      <c r="D84" s="44">
        <v>1.8</v>
      </c>
      <c r="E84" s="44">
        <v>13.5</v>
      </c>
      <c r="F84" s="44">
        <v>252</v>
      </c>
      <c r="G84" s="45" t="s">
        <v>270</v>
      </c>
      <c r="H84" s="44">
        <v>3.5</v>
      </c>
      <c r="I84" s="44">
        <v>28</v>
      </c>
      <c r="J84" s="44">
        <v>33</v>
      </c>
      <c r="K84" s="25"/>
    </row>
    <row r="85" spans="1:11" x14ac:dyDescent="0.25">
      <c r="A85" s="42" t="s">
        <v>279</v>
      </c>
      <c r="B85" s="43">
        <v>0.7</v>
      </c>
      <c r="C85" s="43"/>
      <c r="D85" s="44">
        <v>1.8</v>
      </c>
      <c r="E85" s="44">
        <v>14.8</v>
      </c>
      <c r="F85" s="44">
        <v>359</v>
      </c>
      <c r="G85" s="45" t="s">
        <v>246</v>
      </c>
      <c r="H85" s="44">
        <v>3.5</v>
      </c>
      <c r="I85" s="44">
        <v>37</v>
      </c>
      <c r="J85" s="44">
        <v>44</v>
      </c>
      <c r="K85" s="25"/>
    </row>
    <row r="86" spans="1:11" x14ac:dyDescent="0.25">
      <c r="A86" s="42" t="s">
        <v>280</v>
      </c>
      <c r="B86" s="43">
        <v>0.7</v>
      </c>
      <c r="C86" s="43"/>
      <c r="D86" s="44">
        <v>1.8</v>
      </c>
      <c r="E86" s="44">
        <v>16.2</v>
      </c>
      <c r="F86" s="44">
        <v>472</v>
      </c>
      <c r="G86" s="45" t="s">
        <v>248</v>
      </c>
      <c r="H86" s="44">
        <v>3.5</v>
      </c>
      <c r="I86" s="44">
        <v>46</v>
      </c>
      <c r="J86" s="44">
        <v>54</v>
      </c>
      <c r="K86" s="25"/>
    </row>
    <row r="87" spans="1:11" x14ac:dyDescent="0.25">
      <c r="A87" s="42" t="s">
        <v>281</v>
      </c>
      <c r="B87" s="43">
        <v>0.7</v>
      </c>
      <c r="C87" s="43"/>
      <c r="D87" s="44">
        <v>1.8</v>
      </c>
      <c r="E87" s="44">
        <v>19.600000000000001</v>
      </c>
      <c r="F87" s="44">
        <v>713</v>
      </c>
      <c r="G87" s="45" t="s">
        <v>250</v>
      </c>
      <c r="H87" s="44">
        <v>3.5</v>
      </c>
      <c r="I87" s="44">
        <v>63</v>
      </c>
      <c r="J87" s="44">
        <v>73</v>
      </c>
      <c r="K87" s="25"/>
    </row>
    <row r="88" spans="1:11" x14ac:dyDescent="0.25">
      <c r="A88" s="42" t="s">
        <v>282</v>
      </c>
      <c r="B88" s="43">
        <v>0.7</v>
      </c>
      <c r="C88" s="43"/>
      <c r="D88" s="44">
        <v>1.8</v>
      </c>
      <c r="E88" s="44">
        <v>22.4</v>
      </c>
      <c r="F88" s="44">
        <v>1053</v>
      </c>
      <c r="G88" s="45" t="s">
        <v>252</v>
      </c>
      <c r="H88" s="44">
        <v>3.5</v>
      </c>
      <c r="I88" s="44">
        <v>84</v>
      </c>
      <c r="J88" s="44">
        <v>94</v>
      </c>
      <c r="K88" s="25"/>
    </row>
    <row r="89" spans="1:11" x14ac:dyDescent="0.25">
      <c r="A89" s="42" t="s">
        <v>283</v>
      </c>
      <c r="B89" s="43">
        <v>0.9</v>
      </c>
      <c r="C89" s="43"/>
      <c r="D89" s="44">
        <v>1.8</v>
      </c>
      <c r="E89" s="44">
        <v>27.2</v>
      </c>
      <c r="F89" s="44">
        <v>1583</v>
      </c>
      <c r="G89" s="45" t="s">
        <v>254</v>
      </c>
      <c r="H89" s="44">
        <v>3.5</v>
      </c>
      <c r="I89" s="44">
        <v>109</v>
      </c>
      <c r="J89" s="44">
        <v>120</v>
      </c>
      <c r="K89" s="25"/>
    </row>
    <row r="90" spans="1:11" x14ac:dyDescent="0.25">
      <c r="A90" s="42" t="s">
        <v>284</v>
      </c>
      <c r="B90" s="43">
        <v>0.9</v>
      </c>
      <c r="C90" s="43"/>
      <c r="D90" s="44">
        <v>1.9</v>
      </c>
      <c r="E90" s="44">
        <v>30.5</v>
      </c>
      <c r="F90" s="44">
        <v>2134</v>
      </c>
      <c r="G90" s="45" t="s">
        <v>256</v>
      </c>
      <c r="H90" s="44">
        <v>3.5</v>
      </c>
      <c r="I90" s="44">
        <v>132</v>
      </c>
      <c r="J90" s="44">
        <v>144</v>
      </c>
      <c r="K90" s="25"/>
    </row>
    <row r="91" spans="1:11" x14ac:dyDescent="0.25">
      <c r="A91" s="26" t="s">
        <v>346</v>
      </c>
      <c r="B91" s="27"/>
      <c r="C91" s="27"/>
      <c r="D91" s="27"/>
      <c r="E91" s="27"/>
      <c r="F91" s="27"/>
      <c r="G91" s="27"/>
      <c r="H91" s="27"/>
      <c r="I91" s="27"/>
      <c r="J91" s="28"/>
      <c r="K91" s="25"/>
    </row>
    <row r="92" spans="1:11" x14ac:dyDescent="0.25">
      <c r="A92" s="29" t="s">
        <v>197</v>
      </c>
      <c r="B92" s="30" t="s">
        <v>198</v>
      </c>
      <c r="C92" s="30"/>
      <c r="D92" s="30" t="s">
        <v>199</v>
      </c>
      <c r="E92" s="30" t="s">
        <v>200</v>
      </c>
      <c r="F92" s="30" t="s">
        <v>241</v>
      </c>
      <c r="G92" s="31" t="s">
        <v>242</v>
      </c>
      <c r="H92" s="30" t="s">
        <v>243</v>
      </c>
      <c r="I92" s="30" t="s">
        <v>203</v>
      </c>
      <c r="J92" s="32"/>
      <c r="K92" s="25"/>
    </row>
    <row r="93" spans="1:11" x14ac:dyDescent="0.25">
      <c r="A93" s="33"/>
      <c r="B93" s="30"/>
      <c r="C93" s="30"/>
      <c r="D93" s="32"/>
      <c r="E93" s="32"/>
      <c r="F93" s="32"/>
      <c r="G93" s="34"/>
      <c r="H93" s="32"/>
      <c r="I93" s="35" t="s">
        <v>206</v>
      </c>
      <c r="J93" s="35" t="s">
        <v>207</v>
      </c>
      <c r="K93" s="25"/>
    </row>
    <row r="94" spans="1:11" x14ac:dyDescent="0.25">
      <c r="A94" s="36" t="s">
        <v>213</v>
      </c>
      <c r="B94" s="30" t="s">
        <v>214</v>
      </c>
      <c r="C94" s="30"/>
      <c r="D94" s="35" t="s">
        <v>214</v>
      </c>
      <c r="E94" s="35" t="s">
        <v>214</v>
      </c>
      <c r="F94" s="35" t="s">
        <v>215</v>
      </c>
      <c r="G94" s="37" t="s">
        <v>216</v>
      </c>
      <c r="H94" s="35" t="s">
        <v>244</v>
      </c>
      <c r="I94" s="35" t="s">
        <v>217</v>
      </c>
      <c r="J94" s="35" t="s">
        <v>217</v>
      </c>
      <c r="K94" s="25"/>
    </row>
    <row r="95" spans="1:11" x14ac:dyDescent="0.25">
      <c r="A95" s="42" t="s">
        <v>285</v>
      </c>
      <c r="B95" s="43">
        <v>0.7</v>
      </c>
      <c r="C95" s="43"/>
      <c r="D95" s="44">
        <v>1.5</v>
      </c>
      <c r="E95" s="44">
        <v>12.5</v>
      </c>
      <c r="F95" s="44">
        <v>236</v>
      </c>
      <c r="G95" s="45" t="s">
        <v>246</v>
      </c>
      <c r="H95" s="44">
        <v>3.5</v>
      </c>
      <c r="I95" s="44">
        <v>40</v>
      </c>
      <c r="J95" s="44">
        <v>55</v>
      </c>
      <c r="K95" s="25"/>
    </row>
    <row r="96" spans="1:11" x14ac:dyDescent="0.25">
      <c r="A96" s="42" t="s">
        <v>286</v>
      </c>
      <c r="B96" s="43">
        <v>0.7</v>
      </c>
      <c r="C96" s="43"/>
      <c r="D96" s="44">
        <v>1.5</v>
      </c>
      <c r="E96" s="44">
        <v>13.7</v>
      </c>
      <c r="F96" s="44">
        <v>316</v>
      </c>
      <c r="G96" s="45" t="s">
        <v>248</v>
      </c>
      <c r="H96" s="44">
        <v>3.5</v>
      </c>
      <c r="I96" s="44">
        <v>50</v>
      </c>
      <c r="J96" s="44">
        <v>65</v>
      </c>
      <c r="K96" s="25"/>
    </row>
    <row r="97" spans="1:11" x14ac:dyDescent="0.25">
      <c r="A97" s="42" t="s">
        <v>287</v>
      </c>
      <c r="B97" s="43">
        <v>0.7</v>
      </c>
      <c r="C97" s="43"/>
      <c r="D97" s="44">
        <v>1.5</v>
      </c>
      <c r="E97" s="44">
        <v>15.4</v>
      </c>
      <c r="F97" s="44">
        <v>460</v>
      </c>
      <c r="G97" s="45" t="s">
        <v>250</v>
      </c>
      <c r="H97" s="44">
        <v>3.5</v>
      </c>
      <c r="I97" s="44">
        <v>70</v>
      </c>
      <c r="J97" s="44">
        <v>90</v>
      </c>
      <c r="K97" s="25"/>
    </row>
    <row r="98" spans="1:11" x14ac:dyDescent="0.25">
      <c r="A98" s="38" t="s">
        <v>288</v>
      </c>
      <c r="B98" s="39">
        <v>0.7</v>
      </c>
      <c r="C98" s="39"/>
      <c r="D98" s="40">
        <v>1.5</v>
      </c>
      <c r="E98" s="40">
        <v>17.5</v>
      </c>
      <c r="F98" s="40">
        <v>679</v>
      </c>
      <c r="G98" s="41" t="s">
        <v>252</v>
      </c>
      <c r="H98" s="40">
        <v>3.5</v>
      </c>
      <c r="I98" s="40">
        <v>90</v>
      </c>
      <c r="J98" s="40">
        <v>110</v>
      </c>
      <c r="K98" s="25"/>
    </row>
    <row r="99" spans="1:11" x14ac:dyDescent="0.25">
      <c r="A99" s="38" t="s">
        <v>289</v>
      </c>
      <c r="B99" s="39">
        <v>0.9</v>
      </c>
      <c r="C99" s="39"/>
      <c r="D99" s="40">
        <v>2</v>
      </c>
      <c r="E99" s="40">
        <v>21.8</v>
      </c>
      <c r="F99" s="40">
        <v>1065</v>
      </c>
      <c r="G99" s="41" t="s">
        <v>254</v>
      </c>
      <c r="H99" s="40">
        <v>3.5</v>
      </c>
      <c r="I99" s="40">
        <v>130</v>
      </c>
      <c r="J99" s="40">
        <v>150</v>
      </c>
      <c r="K99" s="25"/>
    </row>
    <row r="100" spans="1:11" x14ac:dyDescent="0.25">
      <c r="A100" s="38" t="s">
        <v>290</v>
      </c>
      <c r="B100" s="39">
        <v>0.9</v>
      </c>
      <c r="C100" s="39"/>
      <c r="D100" s="40">
        <v>2</v>
      </c>
      <c r="E100" s="40">
        <v>23.8</v>
      </c>
      <c r="F100" s="40">
        <v>1368</v>
      </c>
      <c r="G100" s="41" t="s">
        <v>256</v>
      </c>
      <c r="H100" s="40">
        <v>3.5</v>
      </c>
      <c r="I100" s="40">
        <v>165</v>
      </c>
      <c r="J100" s="40">
        <v>185</v>
      </c>
      <c r="K100" s="25"/>
    </row>
    <row r="101" spans="1:11" x14ac:dyDescent="0.25">
      <c r="A101" s="38" t="s">
        <v>291</v>
      </c>
      <c r="B101" s="39">
        <v>1</v>
      </c>
      <c r="C101" s="39"/>
      <c r="D101" s="40">
        <v>2</v>
      </c>
      <c r="E101" s="40">
        <v>27.4</v>
      </c>
      <c r="F101" s="40">
        <v>1901</v>
      </c>
      <c r="G101" s="41" t="s">
        <v>258</v>
      </c>
      <c r="H101" s="40">
        <v>3.5</v>
      </c>
      <c r="I101" s="40">
        <v>200</v>
      </c>
      <c r="J101" s="40">
        <v>210</v>
      </c>
      <c r="K101" s="25"/>
    </row>
    <row r="102" spans="1:11" x14ac:dyDescent="0.25">
      <c r="A102" s="38" t="s">
        <v>292</v>
      </c>
      <c r="B102" s="39">
        <v>1.1000000000000001</v>
      </c>
      <c r="C102" s="39"/>
      <c r="D102" s="40">
        <v>2</v>
      </c>
      <c r="E102" s="40">
        <v>31</v>
      </c>
      <c r="F102" s="40">
        <v>2585</v>
      </c>
      <c r="G102" s="41" t="s">
        <v>260</v>
      </c>
      <c r="H102" s="40">
        <v>3.5</v>
      </c>
      <c r="I102" s="40">
        <v>258</v>
      </c>
      <c r="J102" s="40">
        <v>265</v>
      </c>
      <c r="K102" s="25"/>
    </row>
    <row r="103" spans="1:11" x14ac:dyDescent="0.25">
      <c r="A103" s="38" t="s">
        <v>293</v>
      </c>
      <c r="B103" s="39">
        <v>1.1000000000000001</v>
      </c>
      <c r="C103" s="39"/>
      <c r="D103" s="40">
        <v>2.5</v>
      </c>
      <c r="E103" s="40">
        <v>34.799999999999997</v>
      </c>
      <c r="F103" s="40">
        <v>3718</v>
      </c>
      <c r="G103" s="41" t="s">
        <v>262</v>
      </c>
      <c r="H103" s="40">
        <v>3.5</v>
      </c>
      <c r="I103" s="40">
        <v>320</v>
      </c>
      <c r="J103" s="40">
        <v>315</v>
      </c>
      <c r="K103" s="25"/>
    </row>
    <row r="104" spans="1:11" x14ac:dyDescent="0.25">
      <c r="A104" s="38" t="s">
        <v>294</v>
      </c>
      <c r="B104" s="39">
        <v>1.2</v>
      </c>
      <c r="C104" s="39"/>
      <c r="D104" s="40">
        <v>2.5</v>
      </c>
      <c r="E104" s="40">
        <v>39.700000000000003</v>
      </c>
      <c r="F104" s="40">
        <v>4443</v>
      </c>
      <c r="G104" s="41" t="s">
        <v>264</v>
      </c>
      <c r="H104" s="40">
        <v>3.5</v>
      </c>
      <c r="I104" s="40">
        <v>380</v>
      </c>
      <c r="J104" s="40">
        <v>360</v>
      </c>
      <c r="K104" s="25"/>
    </row>
    <row r="105" spans="1:11" x14ac:dyDescent="0.25">
      <c r="A105" s="38" t="s">
        <v>295</v>
      </c>
      <c r="B105" s="39">
        <v>1.4</v>
      </c>
      <c r="C105" s="39"/>
      <c r="D105" s="40">
        <v>2.5</v>
      </c>
      <c r="E105" s="40">
        <v>42.9</v>
      </c>
      <c r="F105" s="40">
        <v>5326</v>
      </c>
      <c r="G105" s="41" t="s">
        <v>266</v>
      </c>
      <c r="H105" s="40">
        <v>3.5</v>
      </c>
      <c r="I105" s="40">
        <v>440</v>
      </c>
      <c r="J105" s="40">
        <v>400</v>
      </c>
      <c r="K105" s="25"/>
    </row>
    <row r="106" spans="1:11" x14ac:dyDescent="0.25">
      <c r="A106" s="38" t="s">
        <v>296</v>
      </c>
      <c r="B106" s="39">
        <v>1.6</v>
      </c>
      <c r="C106" s="39"/>
      <c r="D106" s="40">
        <v>3</v>
      </c>
      <c r="E106" s="40">
        <v>47.4</v>
      </c>
      <c r="F106" s="40">
        <v>6628</v>
      </c>
      <c r="G106" s="41" t="s">
        <v>275</v>
      </c>
      <c r="H106" s="40">
        <v>3.5</v>
      </c>
      <c r="I106" s="40">
        <v>505</v>
      </c>
      <c r="J106" s="40">
        <v>435</v>
      </c>
      <c r="K106" s="25"/>
    </row>
    <row r="107" spans="1:11" x14ac:dyDescent="0.25">
      <c r="A107" s="38" t="s">
        <v>297</v>
      </c>
      <c r="B107" s="39">
        <v>1.7</v>
      </c>
      <c r="C107" s="39"/>
      <c r="D107" s="40">
        <v>3</v>
      </c>
      <c r="E107" s="40">
        <v>52.7</v>
      </c>
      <c r="F107" s="40">
        <v>8501</v>
      </c>
      <c r="G107" s="41" t="s">
        <v>276</v>
      </c>
      <c r="H107" s="40">
        <v>3.5</v>
      </c>
      <c r="I107" s="40">
        <v>603</v>
      </c>
      <c r="J107" s="40">
        <v>524</v>
      </c>
      <c r="K107" s="25"/>
    </row>
    <row r="108" spans="1:11" x14ac:dyDescent="0.25">
      <c r="A108" s="38" t="s">
        <v>298</v>
      </c>
      <c r="B108" s="39">
        <v>1.8</v>
      </c>
      <c r="C108" s="39"/>
      <c r="D108" s="40">
        <v>3.5</v>
      </c>
      <c r="E108" s="40">
        <v>58</v>
      </c>
      <c r="F108" s="40">
        <v>10320</v>
      </c>
      <c r="G108" s="41" t="s">
        <v>277</v>
      </c>
      <c r="H108" s="40">
        <v>3.5</v>
      </c>
      <c r="I108" s="40">
        <v>700</v>
      </c>
      <c r="J108" s="40">
        <v>605</v>
      </c>
      <c r="K108" s="25"/>
    </row>
    <row r="109" spans="1:11" x14ac:dyDescent="0.25">
      <c r="A109" s="26" t="s">
        <v>347</v>
      </c>
      <c r="B109" s="27"/>
      <c r="C109" s="27"/>
      <c r="D109" s="27"/>
      <c r="E109" s="27"/>
      <c r="F109" s="27"/>
      <c r="G109" s="27"/>
      <c r="H109" s="27"/>
      <c r="I109" s="27"/>
      <c r="J109" s="28"/>
      <c r="K109" s="25"/>
    </row>
    <row r="110" spans="1:11" ht="24" x14ac:dyDescent="0.25">
      <c r="A110" s="36" t="s">
        <v>197</v>
      </c>
      <c r="B110" s="30" t="s">
        <v>198</v>
      </c>
      <c r="C110" s="32"/>
      <c r="D110" s="35" t="s">
        <v>199</v>
      </c>
      <c r="E110" s="35" t="s">
        <v>200</v>
      </c>
      <c r="F110" s="35" t="s">
        <v>241</v>
      </c>
      <c r="G110" s="37" t="s">
        <v>242</v>
      </c>
      <c r="H110" s="35" t="s">
        <v>243</v>
      </c>
      <c r="I110" s="30" t="s">
        <v>203</v>
      </c>
      <c r="J110" s="32"/>
      <c r="K110" s="25"/>
    </row>
    <row r="111" spans="1:11" x14ac:dyDescent="0.25">
      <c r="A111" s="29" t="s">
        <v>213</v>
      </c>
      <c r="B111" s="35" t="s">
        <v>299</v>
      </c>
      <c r="C111" s="35" t="s">
        <v>348</v>
      </c>
      <c r="D111" s="30" t="s">
        <v>214</v>
      </c>
      <c r="E111" s="30" t="s">
        <v>214</v>
      </c>
      <c r="F111" s="30" t="s">
        <v>215</v>
      </c>
      <c r="G111" s="31" t="s">
        <v>216</v>
      </c>
      <c r="H111" s="30" t="s">
        <v>244</v>
      </c>
      <c r="I111" s="35" t="s">
        <v>206</v>
      </c>
      <c r="J111" s="35" t="s">
        <v>207</v>
      </c>
      <c r="K111" s="25"/>
    </row>
    <row r="112" spans="1:11" x14ac:dyDescent="0.25">
      <c r="A112" s="33"/>
      <c r="B112" s="35" t="s">
        <v>214</v>
      </c>
      <c r="C112" s="35" t="s">
        <v>214</v>
      </c>
      <c r="D112" s="32"/>
      <c r="E112" s="32"/>
      <c r="F112" s="32"/>
      <c r="G112" s="34"/>
      <c r="H112" s="32"/>
      <c r="I112" s="35" t="s">
        <v>217</v>
      </c>
      <c r="J112" s="35" t="s">
        <v>217</v>
      </c>
      <c r="K112" s="25"/>
    </row>
    <row r="113" spans="1:11" x14ac:dyDescent="0.25">
      <c r="A113" s="42" t="s">
        <v>300</v>
      </c>
      <c r="B113" s="44">
        <v>1</v>
      </c>
      <c r="C113" s="44">
        <v>0.9</v>
      </c>
      <c r="D113" s="44">
        <v>1.8</v>
      </c>
      <c r="E113" s="44">
        <v>28.2</v>
      </c>
      <c r="F113" s="44">
        <v>2268</v>
      </c>
      <c r="G113" s="45" t="s">
        <v>258</v>
      </c>
      <c r="H113" s="44">
        <v>3.5</v>
      </c>
      <c r="I113" s="44">
        <v>159</v>
      </c>
      <c r="J113" s="44">
        <v>169</v>
      </c>
      <c r="K113" s="25"/>
    </row>
    <row r="114" spans="1:11" x14ac:dyDescent="0.25">
      <c r="A114" s="42" t="s">
        <v>301</v>
      </c>
      <c r="B114" s="44">
        <v>1.1000000000000001</v>
      </c>
      <c r="C114" s="44">
        <v>0.9</v>
      </c>
      <c r="D114" s="44">
        <v>2</v>
      </c>
      <c r="E114" s="44">
        <v>32.799999999999997</v>
      </c>
      <c r="F114" s="44">
        <v>3116</v>
      </c>
      <c r="G114" s="45" t="s">
        <v>260</v>
      </c>
      <c r="H114" s="44">
        <v>3.5</v>
      </c>
      <c r="I114" s="44">
        <v>195</v>
      </c>
      <c r="J114" s="44">
        <v>205</v>
      </c>
      <c r="K114" s="25"/>
    </row>
    <row r="115" spans="1:11" x14ac:dyDescent="0.25">
      <c r="A115" s="42" t="s">
        <v>302</v>
      </c>
      <c r="B115" s="44">
        <v>1.1000000000000001</v>
      </c>
      <c r="C115" s="44">
        <v>1</v>
      </c>
      <c r="D115" s="44">
        <v>2.1</v>
      </c>
      <c r="E115" s="44">
        <v>37</v>
      </c>
      <c r="F115" s="44">
        <v>4176</v>
      </c>
      <c r="G115" s="45" t="s">
        <v>262</v>
      </c>
      <c r="H115" s="44">
        <v>3.5</v>
      </c>
      <c r="I115" s="44">
        <v>237</v>
      </c>
      <c r="J115" s="44">
        <v>245</v>
      </c>
      <c r="K115" s="25"/>
    </row>
    <row r="116" spans="1:11" x14ac:dyDescent="0.25">
      <c r="A116" s="42" t="s">
        <v>303</v>
      </c>
      <c r="B116" s="44">
        <v>1.2</v>
      </c>
      <c r="C116" s="44">
        <v>1.1000000000000001</v>
      </c>
      <c r="D116" s="44">
        <v>2.2999999999999998</v>
      </c>
      <c r="E116" s="44">
        <v>41.4</v>
      </c>
      <c r="F116" s="44">
        <v>5375</v>
      </c>
      <c r="G116" s="45" t="s">
        <v>264</v>
      </c>
      <c r="H116" s="44">
        <v>3.5</v>
      </c>
      <c r="I116" s="44">
        <v>273</v>
      </c>
      <c r="J116" s="44">
        <v>278</v>
      </c>
      <c r="K116" s="25"/>
    </row>
    <row r="117" spans="1:11" x14ac:dyDescent="0.25">
      <c r="A117" s="42" t="s">
        <v>304</v>
      </c>
      <c r="B117" s="44">
        <v>1.4</v>
      </c>
      <c r="C117" s="44">
        <v>1.1000000000000001</v>
      </c>
      <c r="D117" s="44">
        <v>2.4</v>
      </c>
      <c r="E117" s="44">
        <v>44.5</v>
      </c>
      <c r="F117" s="44">
        <v>6305</v>
      </c>
      <c r="G117" s="45" t="s">
        <v>266</v>
      </c>
      <c r="H117" s="44">
        <v>3.5</v>
      </c>
      <c r="I117" s="44">
        <v>310</v>
      </c>
      <c r="J117" s="44">
        <v>309</v>
      </c>
      <c r="K117" s="25"/>
    </row>
    <row r="118" spans="1:11" x14ac:dyDescent="0.25">
      <c r="A118" s="42" t="s">
        <v>305</v>
      </c>
      <c r="B118" s="44">
        <v>1.6</v>
      </c>
      <c r="C118" s="44">
        <v>1.1000000000000001</v>
      </c>
      <c r="D118" s="44">
        <v>2.5</v>
      </c>
      <c r="E118" s="44">
        <v>49.2</v>
      </c>
      <c r="F118" s="44">
        <v>7889</v>
      </c>
      <c r="G118" s="45" t="s">
        <v>275</v>
      </c>
      <c r="H118" s="44">
        <v>3.5</v>
      </c>
      <c r="I118" s="44">
        <v>355</v>
      </c>
      <c r="J118" s="44">
        <v>347</v>
      </c>
      <c r="K118" s="25"/>
    </row>
    <row r="119" spans="1:11" x14ac:dyDescent="0.25">
      <c r="A119" s="42" t="s">
        <v>306</v>
      </c>
      <c r="B119" s="44">
        <v>1.7</v>
      </c>
      <c r="C119" s="44">
        <v>1.2</v>
      </c>
      <c r="D119" s="44">
        <v>2.7</v>
      </c>
      <c r="E119" s="44">
        <v>54.7</v>
      </c>
      <c r="F119" s="44">
        <v>10051</v>
      </c>
      <c r="G119" s="45" t="s">
        <v>276</v>
      </c>
      <c r="H119" s="44">
        <v>3.5</v>
      </c>
      <c r="I119" s="44">
        <v>416</v>
      </c>
      <c r="J119" s="44">
        <v>398</v>
      </c>
      <c r="K119" s="25"/>
    </row>
    <row r="120" spans="1:11" x14ac:dyDescent="0.25">
      <c r="A120" s="26" t="s">
        <v>349</v>
      </c>
      <c r="B120" s="27"/>
      <c r="C120" s="27"/>
      <c r="D120" s="27"/>
      <c r="E120" s="27"/>
      <c r="F120" s="27"/>
      <c r="G120" s="27"/>
      <c r="H120" s="27"/>
      <c r="I120" s="27"/>
      <c r="J120" s="28"/>
      <c r="K120" s="25"/>
    </row>
    <row r="121" spans="1:11" ht="24" x14ac:dyDescent="0.25">
      <c r="A121" s="36" t="s">
        <v>197</v>
      </c>
      <c r="B121" s="30" t="s">
        <v>198</v>
      </c>
      <c r="C121" s="32"/>
      <c r="D121" s="35" t="s">
        <v>199</v>
      </c>
      <c r="E121" s="35" t="s">
        <v>200</v>
      </c>
      <c r="F121" s="35" t="s">
        <v>241</v>
      </c>
      <c r="G121" s="37" t="s">
        <v>242</v>
      </c>
      <c r="H121" s="35" t="s">
        <v>243</v>
      </c>
      <c r="I121" s="30" t="s">
        <v>203</v>
      </c>
      <c r="J121" s="32"/>
      <c r="K121" s="25"/>
    </row>
    <row r="122" spans="1:11" x14ac:dyDescent="0.25">
      <c r="A122" s="29" t="s">
        <v>213</v>
      </c>
      <c r="B122" s="35" t="s">
        <v>299</v>
      </c>
      <c r="C122" s="35" t="s">
        <v>348</v>
      </c>
      <c r="D122" s="30" t="s">
        <v>214</v>
      </c>
      <c r="E122" s="30" t="s">
        <v>214</v>
      </c>
      <c r="F122" s="30" t="s">
        <v>215</v>
      </c>
      <c r="G122" s="31" t="s">
        <v>216</v>
      </c>
      <c r="H122" s="30" t="s">
        <v>244</v>
      </c>
      <c r="I122" s="35" t="s">
        <v>206</v>
      </c>
      <c r="J122" s="35" t="s">
        <v>207</v>
      </c>
      <c r="K122" s="25"/>
    </row>
    <row r="123" spans="1:11" x14ac:dyDescent="0.25">
      <c r="A123" s="33"/>
      <c r="B123" s="35" t="s">
        <v>214</v>
      </c>
      <c r="C123" s="35" t="s">
        <v>214</v>
      </c>
      <c r="D123" s="32"/>
      <c r="E123" s="32"/>
      <c r="F123" s="32"/>
      <c r="G123" s="34"/>
      <c r="H123" s="32"/>
      <c r="I123" s="35" t="s">
        <v>217</v>
      </c>
      <c r="J123" s="35" t="s">
        <v>217</v>
      </c>
      <c r="K123" s="25"/>
    </row>
    <row r="124" spans="1:11" x14ac:dyDescent="0.25">
      <c r="A124" s="38" t="s">
        <v>307</v>
      </c>
      <c r="B124" s="40">
        <v>1</v>
      </c>
      <c r="C124" s="40">
        <v>0.9</v>
      </c>
      <c r="D124" s="41">
        <v>1.8</v>
      </c>
      <c r="E124" s="40">
        <v>28.2</v>
      </c>
      <c r="F124" s="38">
        <v>2268</v>
      </c>
      <c r="G124" s="38" t="s">
        <v>258</v>
      </c>
      <c r="H124" s="38">
        <v>3.5</v>
      </c>
      <c r="I124" s="38">
        <v>159</v>
      </c>
      <c r="J124" s="38">
        <v>169</v>
      </c>
      <c r="K124" s="25"/>
    </row>
    <row r="125" spans="1:11" x14ac:dyDescent="0.25">
      <c r="A125" s="38" t="s">
        <v>308</v>
      </c>
      <c r="B125" s="40">
        <v>1.1000000000000001</v>
      </c>
      <c r="C125" s="47">
        <v>0.9</v>
      </c>
      <c r="D125" s="41">
        <v>2</v>
      </c>
      <c r="E125" s="40">
        <v>32.799999999999997</v>
      </c>
      <c r="F125" s="38">
        <v>3116</v>
      </c>
      <c r="G125" s="38" t="s">
        <v>260</v>
      </c>
      <c r="H125" s="38">
        <v>3.5</v>
      </c>
      <c r="I125" s="38">
        <v>195</v>
      </c>
      <c r="J125" s="38">
        <v>205</v>
      </c>
      <c r="K125" s="25"/>
    </row>
    <row r="126" spans="1:11" x14ac:dyDescent="0.25">
      <c r="A126" s="38" t="s">
        <v>309</v>
      </c>
      <c r="B126" s="40">
        <v>1.1000000000000001</v>
      </c>
      <c r="C126" s="40">
        <v>1</v>
      </c>
      <c r="D126" s="41">
        <v>2.1</v>
      </c>
      <c r="E126" s="40">
        <v>37</v>
      </c>
      <c r="F126" s="38">
        <v>4176</v>
      </c>
      <c r="G126" s="38" t="s">
        <v>262</v>
      </c>
      <c r="H126" s="38">
        <v>3.5</v>
      </c>
      <c r="I126" s="38">
        <v>237</v>
      </c>
      <c r="J126" s="38">
        <v>245</v>
      </c>
      <c r="K126" s="25"/>
    </row>
    <row r="127" spans="1:11" x14ac:dyDescent="0.25">
      <c r="A127" s="38" t="s">
        <v>310</v>
      </c>
      <c r="B127" s="40">
        <v>1.2</v>
      </c>
      <c r="C127" s="40">
        <v>1.1000000000000001</v>
      </c>
      <c r="D127" s="41">
        <v>2.2999999999999998</v>
      </c>
      <c r="E127" s="40">
        <v>41.4</v>
      </c>
      <c r="F127" s="38">
        <v>5375</v>
      </c>
      <c r="G127" s="38" t="s">
        <v>264</v>
      </c>
      <c r="H127" s="38">
        <v>3.5</v>
      </c>
      <c r="I127" s="38">
        <v>273</v>
      </c>
      <c r="J127" s="38">
        <v>278</v>
      </c>
      <c r="K127" s="25"/>
    </row>
    <row r="128" spans="1:11" x14ac:dyDescent="0.25">
      <c r="A128" s="38" t="s">
        <v>311</v>
      </c>
      <c r="B128" s="40">
        <v>1.4</v>
      </c>
      <c r="C128" s="40">
        <v>1.1000000000000001</v>
      </c>
      <c r="D128" s="41">
        <v>2.4</v>
      </c>
      <c r="E128" s="40">
        <v>44.5</v>
      </c>
      <c r="F128" s="38">
        <v>6305</v>
      </c>
      <c r="G128" s="38" t="s">
        <v>266</v>
      </c>
      <c r="H128" s="38">
        <v>3.5</v>
      </c>
      <c r="I128" s="38">
        <v>310</v>
      </c>
      <c r="J128" s="38">
        <v>309</v>
      </c>
      <c r="K128" s="25"/>
    </row>
    <row r="129" spans="1:11" x14ac:dyDescent="0.25">
      <c r="A129" s="38" t="s">
        <v>312</v>
      </c>
      <c r="B129" s="40">
        <v>1.6</v>
      </c>
      <c r="C129" s="40">
        <v>1.1000000000000001</v>
      </c>
      <c r="D129" s="41">
        <v>2.5</v>
      </c>
      <c r="E129" s="40">
        <v>49.2</v>
      </c>
      <c r="F129" s="38">
        <v>7889</v>
      </c>
      <c r="G129" s="38" t="s">
        <v>275</v>
      </c>
      <c r="H129" s="38">
        <v>3.5</v>
      </c>
      <c r="I129" s="38">
        <v>355</v>
      </c>
      <c r="J129" s="38">
        <v>347</v>
      </c>
      <c r="K129" s="25"/>
    </row>
    <row r="130" spans="1:11" x14ac:dyDescent="0.25">
      <c r="A130" s="38" t="s">
        <v>313</v>
      </c>
      <c r="B130" s="40">
        <v>1.7</v>
      </c>
      <c r="C130" s="40">
        <v>1.2</v>
      </c>
      <c r="D130" s="41">
        <v>2.7</v>
      </c>
      <c r="E130" s="40">
        <v>54.7</v>
      </c>
      <c r="F130" s="38">
        <v>10051</v>
      </c>
      <c r="G130" s="38" t="s">
        <v>276</v>
      </c>
      <c r="H130" s="38">
        <v>3.5</v>
      </c>
      <c r="I130" s="38">
        <v>416</v>
      </c>
      <c r="J130" s="38">
        <v>398</v>
      </c>
      <c r="K130" s="25"/>
    </row>
  </sheetData>
  <mergeCells count="162">
    <mergeCell ref="A120:J120"/>
    <mergeCell ref="B121:C121"/>
    <mergeCell ref="I121:J121"/>
    <mergeCell ref="A122:A123"/>
    <mergeCell ref="D122:D123"/>
    <mergeCell ref="E122:E123"/>
    <mergeCell ref="F122:F123"/>
    <mergeCell ref="G122:G123"/>
    <mergeCell ref="H122:H123"/>
    <mergeCell ref="B110:C110"/>
    <mergeCell ref="I110:J110"/>
    <mergeCell ref="A111:A112"/>
    <mergeCell ref="D111:D112"/>
    <mergeCell ref="E111:E112"/>
    <mergeCell ref="F111:F112"/>
    <mergeCell ref="G111:G112"/>
    <mergeCell ref="H111:H112"/>
    <mergeCell ref="B104:C104"/>
    <mergeCell ref="B105:C105"/>
    <mergeCell ref="B106:C106"/>
    <mergeCell ref="B107:C107"/>
    <mergeCell ref="B108:C108"/>
    <mergeCell ref="A109:J109"/>
    <mergeCell ref="B98:C98"/>
    <mergeCell ref="B99:C99"/>
    <mergeCell ref="B100:C100"/>
    <mergeCell ref="B101:C101"/>
    <mergeCell ref="B102:C102"/>
    <mergeCell ref="B103:C103"/>
    <mergeCell ref="H92:H93"/>
    <mergeCell ref="I92:J92"/>
    <mergeCell ref="B94:C94"/>
    <mergeCell ref="B95:C95"/>
    <mergeCell ref="B96:C96"/>
    <mergeCell ref="B97:C97"/>
    <mergeCell ref="A92:A93"/>
    <mergeCell ref="B92:C93"/>
    <mergeCell ref="D92:D93"/>
    <mergeCell ref="E92:E93"/>
    <mergeCell ref="F92:F93"/>
    <mergeCell ref="G92:G93"/>
    <mergeCell ref="B86:C86"/>
    <mergeCell ref="B87:C87"/>
    <mergeCell ref="B88:C88"/>
    <mergeCell ref="B89:C89"/>
    <mergeCell ref="B90:C90"/>
    <mergeCell ref="A91:J91"/>
    <mergeCell ref="H80:H81"/>
    <mergeCell ref="I80:J80"/>
    <mergeCell ref="B82:C82"/>
    <mergeCell ref="B83:C83"/>
    <mergeCell ref="B84:C84"/>
    <mergeCell ref="B85:C85"/>
    <mergeCell ref="A80:A81"/>
    <mergeCell ref="B80:C81"/>
    <mergeCell ref="D80:D81"/>
    <mergeCell ref="E80:E81"/>
    <mergeCell ref="F80:F81"/>
    <mergeCell ref="G80:G81"/>
    <mergeCell ref="B74:C74"/>
    <mergeCell ref="B75:C75"/>
    <mergeCell ref="B76:C76"/>
    <mergeCell ref="B77:C77"/>
    <mergeCell ref="B78:C78"/>
    <mergeCell ref="A79:J79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A59:J59"/>
    <mergeCell ref="A60:A61"/>
    <mergeCell ref="B60:C61"/>
    <mergeCell ref="D60:D61"/>
    <mergeCell ref="E60:E61"/>
    <mergeCell ref="F60:F61"/>
    <mergeCell ref="G60:G61"/>
    <mergeCell ref="H60:H61"/>
    <mergeCell ref="I60:J60"/>
    <mergeCell ref="B53:C53"/>
    <mergeCell ref="B54:C54"/>
    <mergeCell ref="B55:C55"/>
    <mergeCell ref="B56:C56"/>
    <mergeCell ref="B57:C57"/>
    <mergeCell ref="B58:C58"/>
    <mergeCell ref="B47:C47"/>
    <mergeCell ref="B48:C48"/>
    <mergeCell ref="B49:C49"/>
    <mergeCell ref="B50:C50"/>
    <mergeCell ref="B51:C51"/>
    <mergeCell ref="B52:C52"/>
    <mergeCell ref="I40:J40"/>
    <mergeCell ref="B42:C42"/>
    <mergeCell ref="B43:C43"/>
    <mergeCell ref="B44:C44"/>
    <mergeCell ref="B45:C45"/>
    <mergeCell ref="B46:C46"/>
    <mergeCell ref="B37:C37"/>
    <mergeCell ref="B38:C38"/>
    <mergeCell ref="A39:J39"/>
    <mergeCell ref="A40:A41"/>
    <mergeCell ref="B40:C41"/>
    <mergeCell ref="D40:D41"/>
    <mergeCell ref="E40:E41"/>
    <mergeCell ref="F40:F41"/>
    <mergeCell ref="G40:G41"/>
    <mergeCell ref="H40:H41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A22:J22"/>
    <mergeCell ref="A23:A24"/>
    <mergeCell ref="B23:C24"/>
    <mergeCell ref="D23:D24"/>
    <mergeCell ref="E23:E24"/>
    <mergeCell ref="F23:F24"/>
    <mergeCell ref="G23:G24"/>
    <mergeCell ref="H23:H24"/>
    <mergeCell ref="I23:J23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4:C4"/>
    <mergeCell ref="B5:C5"/>
    <mergeCell ref="B6:C6"/>
    <mergeCell ref="B7:C7"/>
    <mergeCell ref="B8:C8"/>
    <mergeCell ref="B9:C9"/>
    <mergeCell ref="A1:J1"/>
    <mergeCell ref="A2:A3"/>
    <mergeCell ref="B2:C3"/>
    <mergeCell ref="D2:D3"/>
    <mergeCell ref="E2:E3"/>
    <mergeCell ref="F2:F3"/>
    <mergeCell ref="G2:G3"/>
    <mergeCell ref="H2:H3"/>
    <mergeCell ref="I2:J2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8724-A7E3-4673-88FF-7ECD2A45651F}">
  <sheetPr codeName="Sheet5"/>
  <dimension ref="A1:O86"/>
  <sheetViews>
    <sheetView workbookViewId="0">
      <selection activeCell="G17" sqref="G17:G18"/>
    </sheetView>
  </sheetViews>
  <sheetFormatPr defaultRowHeight="12" x14ac:dyDescent="0.15"/>
  <cols>
    <col min="1" max="1" width="22" style="48" customWidth="1"/>
    <col min="2" max="3" width="12.5546875" style="74" customWidth="1"/>
    <col min="4" max="4" width="12.109375" style="74" customWidth="1"/>
    <col min="5" max="5" width="12.77734375" style="74" customWidth="1"/>
    <col min="6" max="6" width="11.88671875" style="74" customWidth="1"/>
    <col min="7" max="7" width="14.21875" style="75" customWidth="1"/>
    <col min="8" max="8" width="11.109375" style="74" customWidth="1"/>
    <col min="9" max="9" width="12.109375" style="74" customWidth="1"/>
    <col min="10" max="10" width="14.44140625" style="74" customWidth="1"/>
    <col min="11" max="256" width="8.88671875" style="48"/>
    <col min="257" max="257" width="22" style="48" customWidth="1"/>
    <col min="258" max="259" width="12.5546875" style="48" customWidth="1"/>
    <col min="260" max="260" width="12.109375" style="48" customWidth="1"/>
    <col min="261" max="261" width="12.77734375" style="48" customWidth="1"/>
    <col min="262" max="262" width="11.88671875" style="48" customWidth="1"/>
    <col min="263" max="263" width="14.21875" style="48" customWidth="1"/>
    <col min="264" max="264" width="11.109375" style="48" customWidth="1"/>
    <col min="265" max="265" width="12.109375" style="48" customWidth="1"/>
    <col min="266" max="266" width="14.44140625" style="48" customWidth="1"/>
    <col min="267" max="512" width="8.88671875" style="48"/>
    <col min="513" max="513" width="22" style="48" customWidth="1"/>
    <col min="514" max="515" width="12.5546875" style="48" customWidth="1"/>
    <col min="516" max="516" width="12.109375" style="48" customWidth="1"/>
    <col min="517" max="517" width="12.77734375" style="48" customWidth="1"/>
    <col min="518" max="518" width="11.88671875" style="48" customWidth="1"/>
    <col min="519" max="519" width="14.21875" style="48" customWidth="1"/>
    <col min="520" max="520" width="11.109375" style="48" customWidth="1"/>
    <col min="521" max="521" width="12.109375" style="48" customWidth="1"/>
    <col min="522" max="522" width="14.44140625" style="48" customWidth="1"/>
    <col min="523" max="768" width="8.88671875" style="48"/>
    <col min="769" max="769" width="22" style="48" customWidth="1"/>
    <col min="770" max="771" width="12.5546875" style="48" customWidth="1"/>
    <col min="772" max="772" width="12.109375" style="48" customWidth="1"/>
    <col min="773" max="773" width="12.77734375" style="48" customWidth="1"/>
    <col min="774" max="774" width="11.88671875" style="48" customWidth="1"/>
    <col min="775" max="775" width="14.21875" style="48" customWidth="1"/>
    <col min="776" max="776" width="11.109375" style="48" customWidth="1"/>
    <col min="777" max="777" width="12.109375" style="48" customWidth="1"/>
    <col min="778" max="778" width="14.44140625" style="48" customWidth="1"/>
    <col min="779" max="1024" width="8.88671875" style="48"/>
    <col min="1025" max="1025" width="22" style="48" customWidth="1"/>
    <col min="1026" max="1027" width="12.5546875" style="48" customWidth="1"/>
    <col min="1028" max="1028" width="12.109375" style="48" customWidth="1"/>
    <col min="1029" max="1029" width="12.77734375" style="48" customWidth="1"/>
    <col min="1030" max="1030" width="11.88671875" style="48" customWidth="1"/>
    <col min="1031" max="1031" width="14.21875" style="48" customWidth="1"/>
    <col min="1032" max="1032" width="11.109375" style="48" customWidth="1"/>
    <col min="1033" max="1033" width="12.109375" style="48" customWidth="1"/>
    <col min="1034" max="1034" width="14.44140625" style="48" customWidth="1"/>
    <col min="1035" max="1280" width="8.88671875" style="48"/>
    <col min="1281" max="1281" width="22" style="48" customWidth="1"/>
    <col min="1282" max="1283" width="12.5546875" style="48" customWidth="1"/>
    <col min="1284" max="1284" width="12.109375" style="48" customWidth="1"/>
    <col min="1285" max="1285" width="12.77734375" style="48" customWidth="1"/>
    <col min="1286" max="1286" width="11.88671875" style="48" customWidth="1"/>
    <col min="1287" max="1287" width="14.21875" style="48" customWidth="1"/>
    <col min="1288" max="1288" width="11.109375" style="48" customWidth="1"/>
    <col min="1289" max="1289" width="12.109375" style="48" customWidth="1"/>
    <col min="1290" max="1290" width="14.44140625" style="48" customWidth="1"/>
    <col min="1291" max="1536" width="8.88671875" style="48"/>
    <col min="1537" max="1537" width="22" style="48" customWidth="1"/>
    <col min="1538" max="1539" width="12.5546875" style="48" customWidth="1"/>
    <col min="1540" max="1540" width="12.109375" style="48" customWidth="1"/>
    <col min="1541" max="1541" width="12.77734375" style="48" customWidth="1"/>
    <col min="1542" max="1542" width="11.88671875" style="48" customWidth="1"/>
    <col min="1543" max="1543" width="14.21875" style="48" customWidth="1"/>
    <col min="1544" max="1544" width="11.109375" style="48" customWidth="1"/>
    <col min="1545" max="1545" width="12.109375" style="48" customWidth="1"/>
    <col min="1546" max="1546" width="14.44140625" style="48" customWidth="1"/>
    <col min="1547" max="1792" width="8.88671875" style="48"/>
    <col min="1793" max="1793" width="22" style="48" customWidth="1"/>
    <col min="1794" max="1795" width="12.5546875" style="48" customWidth="1"/>
    <col min="1796" max="1796" width="12.109375" style="48" customWidth="1"/>
    <col min="1797" max="1797" width="12.77734375" style="48" customWidth="1"/>
    <col min="1798" max="1798" width="11.88671875" style="48" customWidth="1"/>
    <col min="1799" max="1799" width="14.21875" style="48" customWidth="1"/>
    <col min="1800" max="1800" width="11.109375" style="48" customWidth="1"/>
    <col min="1801" max="1801" width="12.109375" style="48" customWidth="1"/>
    <col min="1802" max="1802" width="14.44140625" style="48" customWidth="1"/>
    <col min="1803" max="2048" width="8.88671875" style="48"/>
    <col min="2049" max="2049" width="22" style="48" customWidth="1"/>
    <col min="2050" max="2051" width="12.5546875" style="48" customWidth="1"/>
    <col min="2052" max="2052" width="12.109375" style="48" customWidth="1"/>
    <col min="2053" max="2053" width="12.77734375" style="48" customWidth="1"/>
    <col min="2054" max="2054" width="11.88671875" style="48" customWidth="1"/>
    <col min="2055" max="2055" width="14.21875" style="48" customWidth="1"/>
    <col min="2056" max="2056" width="11.109375" style="48" customWidth="1"/>
    <col min="2057" max="2057" width="12.109375" style="48" customWidth="1"/>
    <col min="2058" max="2058" width="14.44140625" style="48" customWidth="1"/>
    <col min="2059" max="2304" width="8.88671875" style="48"/>
    <col min="2305" max="2305" width="22" style="48" customWidth="1"/>
    <col min="2306" max="2307" width="12.5546875" style="48" customWidth="1"/>
    <col min="2308" max="2308" width="12.109375" style="48" customWidth="1"/>
    <col min="2309" max="2309" width="12.77734375" style="48" customWidth="1"/>
    <col min="2310" max="2310" width="11.88671875" style="48" customWidth="1"/>
    <col min="2311" max="2311" width="14.21875" style="48" customWidth="1"/>
    <col min="2312" max="2312" width="11.109375" style="48" customWidth="1"/>
    <col min="2313" max="2313" width="12.109375" style="48" customWidth="1"/>
    <col min="2314" max="2314" width="14.44140625" style="48" customWidth="1"/>
    <col min="2315" max="2560" width="8.88671875" style="48"/>
    <col min="2561" max="2561" width="22" style="48" customWidth="1"/>
    <col min="2562" max="2563" width="12.5546875" style="48" customWidth="1"/>
    <col min="2564" max="2564" width="12.109375" style="48" customWidth="1"/>
    <col min="2565" max="2565" width="12.77734375" style="48" customWidth="1"/>
    <col min="2566" max="2566" width="11.88671875" style="48" customWidth="1"/>
    <col min="2567" max="2567" width="14.21875" style="48" customWidth="1"/>
    <col min="2568" max="2568" width="11.109375" style="48" customWidth="1"/>
    <col min="2569" max="2569" width="12.109375" style="48" customWidth="1"/>
    <col min="2570" max="2570" width="14.44140625" style="48" customWidth="1"/>
    <col min="2571" max="2816" width="8.88671875" style="48"/>
    <col min="2817" max="2817" width="22" style="48" customWidth="1"/>
    <col min="2818" max="2819" width="12.5546875" style="48" customWidth="1"/>
    <col min="2820" max="2820" width="12.109375" style="48" customWidth="1"/>
    <col min="2821" max="2821" width="12.77734375" style="48" customWidth="1"/>
    <col min="2822" max="2822" width="11.88671875" style="48" customWidth="1"/>
    <col min="2823" max="2823" width="14.21875" style="48" customWidth="1"/>
    <col min="2824" max="2824" width="11.109375" style="48" customWidth="1"/>
    <col min="2825" max="2825" width="12.109375" style="48" customWidth="1"/>
    <col min="2826" max="2826" width="14.44140625" style="48" customWidth="1"/>
    <col min="2827" max="3072" width="8.88671875" style="48"/>
    <col min="3073" max="3073" width="22" style="48" customWidth="1"/>
    <col min="3074" max="3075" width="12.5546875" style="48" customWidth="1"/>
    <col min="3076" max="3076" width="12.109375" style="48" customWidth="1"/>
    <col min="3077" max="3077" width="12.77734375" style="48" customWidth="1"/>
    <col min="3078" max="3078" width="11.88671875" style="48" customWidth="1"/>
    <col min="3079" max="3079" width="14.21875" style="48" customWidth="1"/>
    <col min="3080" max="3080" width="11.109375" style="48" customWidth="1"/>
    <col min="3081" max="3081" width="12.109375" style="48" customWidth="1"/>
    <col min="3082" max="3082" width="14.44140625" style="48" customWidth="1"/>
    <col min="3083" max="3328" width="8.88671875" style="48"/>
    <col min="3329" max="3329" width="22" style="48" customWidth="1"/>
    <col min="3330" max="3331" width="12.5546875" style="48" customWidth="1"/>
    <col min="3332" max="3332" width="12.109375" style="48" customWidth="1"/>
    <col min="3333" max="3333" width="12.77734375" style="48" customWidth="1"/>
    <col min="3334" max="3334" width="11.88671875" style="48" customWidth="1"/>
    <col min="3335" max="3335" width="14.21875" style="48" customWidth="1"/>
    <col min="3336" max="3336" width="11.109375" style="48" customWidth="1"/>
    <col min="3337" max="3337" width="12.109375" style="48" customWidth="1"/>
    <col min="3338" max="3338" width="14.44140625" style="48" customWidth="1"/>
    <col min="3339" max="3584" width="8.88671875" style="48"/>
    <col min="3585" max="3585" width="22" style="48" customWidth="1"/>
    <col min="3586" max="3587" width="12.5546875" style="48" customWidth="1"/>
    <col min="3588" max="3588" width="12.109375" style="48" customWidth="1"/>
    <col min="3589" max="3589" width="12.77734375" style="48" customWidth="1"/>
    <col min="3590" max="3590" width="11.88671875" style="48" customWidth="1"/>
    <col min="3591" max="3591" width="14.21875" style="48" customWidth="1"/>
    <col min="3592" max="3592" width="11.109375" style="48" customWidth="1"/>
    <col min="3593" max="3593" width="12.109375" style="48" customWidth="1"/>
    <col min="3594" max="3594" width="14.44140625" style="48" customWidth="1"/>
    <col min="3595" max="3840" width="8.88671875" style="48"/>
    <col min="3841" max="3841" width="22" style="48" customWidth="1"/>
    <col min="3842" max="3843" width="12.5546875" style="48" customWidth="1"/>
    <col min="3844" max="3844" width="12.109375" style="48" customWidth="1"/>
    <col min="3845" max="3845" width="12.77734375" style="48" customWidth="1"/>
    <col min="3846" max="3846" width="11.88671875" style="48" customWidth="1"/>
    <col min="3847" max="3847" width="14.21875" style="48" customWidth="1"/>
    <col min="3848" max="3848" width="11.109375" style="48" customWidth="1"/>
    <col min="3849" max="3849" width="12.109375" style="48" customWidth="1"/>
    <col min="3850" max="3850" width="14.44140625" style="48" customWidth="1"/>
    <col min="3851" max="4096" width="8.88671875" style="48"/>
    <col min="4097" max="4097" width="22" style="48" customWidth="1"/>
    <col min="4098" max="4099" width="12.5546875" style="48" customWidth="1"/>
    <col min="4100" max="4100" width="12.109375" style="48" customWidth="1"/>
    <col min="4101" max="4101" width="12.77734375" style="48" customWidth="1"/>
    <col min="4102" max="4102" width="11.88671875" style="48" customWidth="1"/>
    <col min="4103" max="4103" width="14.21875" style="48" customWidth="1"/>
    <col min="4104" max="4104" width="11.109375" style="48" customWidth="1"/>
    <col min="4105" max="4105" width="12.109375" style="48" customWidth="1"/>
    <col min="4106" max="4106" width="14.44140625" style="48" customWidth="1"/>
    <col min="4107" max="4352" width="8.88671875" style="48"/>
    <col min="4353" max="4353" width="22" style="48" customWidth="1"/>
    <col min="4354" max="4355" width="12.5546875" style="48" customWidth="1"/>
    <col min="4356" max="4356" width="12.109375" style="48" customWidth="1"/>
    <col min="4357" max="4357" width="12.77734375" style="48" customWidth="1"/>
    <col min="4358" max="4358" width="11.88671875" style="48" customWidth="1"/>
    <col min="4359" max="4359" width="14.21875" style="48" customWidth="1"/>
    <col min="4360" max="4360" width="11.109375" style="48" customWidth="1"/>
    <col min="4361" max="4361" width="12.109375" style="48" customWidth="1"/>
    <col min="4362" max="4362" width="14.44140625" style="48" customWidth="1"/>
    <col min="4363" max="4608" width="8.88671875" style="48"/>
    <col min="4609" max="4609" width="22" style="48" customWidth="1"/>
    <col min="4610" max="4611" width="12.5546875" style="48" customWidth="1"/>
    <col min="4612" max="4612" width="12.109375" style="48" customWidth="1"/>
    <col min="4613" max="4613" width="12.77734375" style="48" customWidth="1"/>
    <col min="4614" max="4614" width="11.88671875" style="48" customWidth="1"/>
    <col min="4615" max="4615" width="14.21875" style="48" customWidth="1"/>
    <col min="4616" max="4616" width="11.109375" style="48" customWidth="1"/>
    <col min="4617" max="4617" width="12.109375" style="48" customWidth="1"/>
    <col min="4618" max="4618" width="14.44140625" style="48" customWidth="1"/>
    <col min="4619" max="4864" width="8.88671875" style="48"/>
    <col min="4865" max="4865" width="22" style="48" customWidth="1"/>
    <col min="4866" max="4867" width="12.5546875" style="48" customWidth="1"/>
    <col min="4868" max="4868" width="12.109375" style="48" customWidth="1"/>
    <col min="4869" max="4869" width="12.77734375" style="48" customWidth="1"/>
    <col min="4870" max="4870" width="11.88671875" style="48" customWidth="1"/>
    <col min="4871" max="4871" width="14.21875" style="48" customWidth="1"/>
    <col min="4872" max="4872" width="11.109375" style="48" customWidth="1"/>
    <col min="4873" max="4873" width="12.109375" style="48" customWidth="1"/>
    <col min="4874" max="4874" width="14.44140625" style="48" customWidth="1"/>
    <col min="4875" max="5120" width="8.88671875" style="48"/>
    <col min="5121" max="5121" width="22" style="48" customWidth="1"/>
    <col min="5122" max="5123" width="12.5546875" style="48" customWidth="1"/>
    <col min="5124" max="5124" width="12.109375" style="48" customWidth="1"/>
    <col min="5125" max="5125" width="12.77734375" style="48" customWidth="1"/>
    <col min="5126" max="5126" width="11.88671875" style="48" customWidth="1"/>
    <col min="5127" max="5127" width="14.21875" style="48" customWidth="1"/>
    <col min="5128" max="5128" width="11.109375" style="48" customWidth="1"/>
    <col min="5129" max="5129" width="12.109375" style="48" customWidth="1"/>
    <col min="5130" max="5130" width="14.44140625" style="48" customWidth="1"/>
    <col min="5131" max="5376" width="8.88671875" style="48"/>
    <col min="5377" max="5377" width="22" style="48" customWidth="1"/>
    <col min="5378" max="5379" width="12.5546875" style="48" customWidth="1"/>
    <col min="5380" max="5380" width="12.109375" style="48" customWidth="1"/>
    <col min="5381" max="5381" width="12.77734375" style="48" customWidth="1"/>
    <col min="5382" max="5382" width="11.88671875" style="48" customWidth="1"/>
    <col min="5383" max="5383" width="14.21875" style="48" customWidth="1"/>
    <col min="5384" max="5384" width="11.109375" style="48" customWidth="1"/>
    <col min="5385" max="5385" width="12.109375" style="48" customWidth="1"/>
    <col min="5386" max="5386" width="14.44140625" style="48" customWidth="1"/>
    <col min="5387" max="5632" width="8.88671875" style="48"/>
    <col min="5633" max="5633" width="22" style="48" customWidth="1"/>
    <col min="5634" max="5635" width="12.5546875" style="48" customWidth="1"/>
    <col min="5636" max="5636" width="12.109375" style="48" customWidth="1"/>
    <col min="5637" max="5637" width="12.77734375" style="48" customWidth="1"/>
    <col min="5638" max="5638" width="11.88671875" style="48" customWidth="1"/>
    <col min="5639" max="5639" width="14.21875" style="48" customWidth="1"/>
    <col min="5640" max="5640" width="11.109375" style="48" customWidth="1"/>
    <col min="5641" max="5641" width="12.109375" style="48" customWidth="1"/>
    <col min="5642" max="5642" width="14.44140625" style="48" customWidth="1"/>
    <col min="5643" max="5888" width="8.88671875" style="48"/>
    <col min="5889" max="5889" width="22" style="48" customWidth="1"/>
    <col min="5890" max="5891" width="12.5546875" style="48" customWidth="1"/>
    <col min="5892" max="5892" width="12.109375" style="48" customWidth="1"/>
    <col min="5893" max="5893" width="12.77734375" style="48" customWidth="1"/>
    <col min="5894" max="5894" width="11.88671875" style="48" customWidth="1"/>
    <col min="5895" max="5895" width="14.21875" style="48" customWidth="1"/>
    <col min="5896" max="5896" width="11.109375" style="48" customWidth="1"/>
    <col min="5897" max="5897" width="12.109375" style="48" customWidth="1"/>
    <col min="5898" max="5898" width="14.44140625" style="48" customWidth="1"/>
    <col min="5899" max="6144" width="8.88671875" style="48"/>
    <col min="6145" max="6145" width="22" style="48" customWidth="1"/>
    <col min="6146" max="6147" width="12.5546875" style="48" customWidth="1"/>
    <col min="6148" max="6148" width="12.109375" style="48" customWidth="1"/>
    <col min="6149" max="6149" width="12.77734375" style="48" customWidth="1"/>
    <col min="6150" max="6150" width="11.88671875" style="48" customWidth="1"/>
    <col min="6151" max="6151" width="14.21875" style="48" customWidth="1"/>
    <col min="6152" max="6152" width="11.109375" style="48" customWidth="1"/>
    <col min="6153" max="6153" width="12.109375" style="48" customWidth="1"/>
    <col min="6154" max="6154" width="14.44140625" style="48" customWidth="1"/>
    <col min="6155" max="6400" width="8.88671875" style="48"/>
    <col min="6401" max="6401" width="22" style="48" customWidth="1"/>
    <col min="6402" max="6403" width="12.5546875" style="48" customWidth="1"/>
    <col min="6404" max="6404" width="12.109375" style="48" customWidth="1"/>
    <col min="6405" max="6405" width="12.77734375" style="48" customWidth="1"/>
    <col min="6406" max="6406" width="11.88671875" style="48" customWidth="1"/>
    <col min="6407" max="6407" width="14.21875" style="48" customWidth="1"/>
    <col min="6408" max="6408" width="11.109375" style="48" customWidth="1"/>
    <col min="6409" max="6409" width="12.109375" style="48" customWidth="1"/>
    <col min="6410" max="6410" width="14.44140625" style="48" customWidth="1"/>
    <col min="6411" max="6656" width="8.88671875" style="48"/>
    <col min="6657" max="6657" width="22" style="48" customWidth="1"/>
    <col min="6658" max="6659" width="12.5546875" style="48" customWidth="1"/>
    <col min="6660" max="6660" width="12.109375" style="48" customWidth="1"/>
    <col min="6661" max="6661" width="12.77734375" style="48" customWidth="1"/>
    <col min="6662" max="6662" width="11.88671875" style="48" customWidth="1"/>
    <col min="6663" max="6663" width="14.21875" style="48" customWidth="1"/>
    <col min="6664" max="6664" width="11.109375" style="48" customWidth="1"/>
    <col min="6665" max="6665" width="12.109375" style="48" customWidth="1"/>
    <col min="6666" max="6666" width="14.44140625" style="48" customWidth="1"/>
    <col min="6667" max="6912" width="8.88671875" style="48"/>
    <col min="6913" max="6913" width="22" style="48" customWidth="1"/>
    <col min="6914" max="6915" width="12.5546875" style="48" customWidth="1"/>
    <col min="6916" max="6916" width="12.109375" style="48" customWidth="1"/>
    <col min="6917" max="6917" width="12.77734375" style="48" customWidth="1"/>
    <col min="6918" max="6918" width="11.88671875" style="48" customWidth="1"/>
    <col min="6919" max="6919" width="14.21875" style="48" customWidth="1"/>
    <col min="6920" max="6920" width="11.109375" style="48" customWidth="1"/>
    <col min="6921" max="6921" width="12.109375" style="48" customWidth="1"/>
    <col min="6922" max="6922" width="14.44140625" style="48" customWidth="1"/>
    <col min="6923" max="7168" width="8.88671875" style="48"/>
    <col min="7169" max="7169" width="22" style="48" customWidth="1"/>
    <col min="7170" max="7171" width="12.5546875" style="48" customWidth="1"/>
    <col min="7172" max="7172" width="12.109375" style="48" customWidth="1"/>
    <col min="7173" max="7173" width="12.77734375" style="48" customWidth="1"/>
    <col min="7174" max="7174" width="11.88671875" style="48" customWidth="1"/>
    <col min="7175" max="7175" width="14.21875" style="48" customWidth="1"/>
    <col min="7176" max="7176" width="11.109375" style="48" customWidth="1"/>
    <col min="7177" max="7177" width="12.109375" style="48" customWidth="1"/>
    <col min="7178" max="7178" width="14.44140625" style="48" customWidth="1"/>
    <col min="7179" max="7424" width="8.88671875" style="48"/>
    <col min="7425" max="7425" width="22" style="48" customWidth="1"/>
    <col min="7426" max="7427" width="12.5546875" style="48" customWidth="1"/>
    <col min="7428" max="7428" width="12.109375" style="48" customWidth="1"/>
    <col min="7429" max="7429" width="12.77734375" style="48" customWidth="1"/>
    <col min="7430" max="7430" width="11.88671875" style="48" customWidth="1"/>
    <col min="7431" max="7431" width="14.21875" style="48" customWidth="1"/>
    <col min="7432" max="7432" width="11.109375" style="48" customWidth="1"/>
    <col min="7433" max="7433" width="12.109375" style="48" customWidth="1"/>
    <col min="7434" max="7434" width="14.44140625" style="48" customWidth="1"/>
    <col min="7435" max="7680" width="8.88671875" style="48"/>
    <col min="7681" max="7681" width="22" style="48" customWidth="1"/>
    <col min="7682" max="7683" width="12.5546875" style="48" customWidth="1"/>
    <col min="7684" max="7684" width="12.109375" style="48" customWidth="1"/>
    <col min="7685" max="7685" width="12.77734375" style="48" customWidth="1"/>
    <col min="7686" max="7686" width="11.88671875" style="48" customWidth="1"/>
    <col min="7687" max="7687" width="14.21875" style="48" customWidth="1"/>
    <col min="7688" max="7688" width="11.109375" style="48" customWidth="1"/>
    <col min="7689" max="7689" width="12.109375" style="48" customWidth="1"/>
    <col min="7690" max="7690" width="14.44140625" style="48" customWidth="1"/>
    <col min="7691" max="7936" width="8.88671875" style="48"/>
    <col min="7937" max="7937" width="22" style="48" customWidth="1"/>
    <col min="7938" max="7939" width="12.5546875" style="48" customWidth="1"/>
    <col min="7940" max="7940" width="12.109375" style="48" customWidth="1"/>
    <col min="7941" max="7941" width="12.77734375" style="48" customWidth="1"/>
    <col min="7942" max="7942" width="11.88671875" style="48" customWidth="1"/>
    <col min="7943" max="7943" width="14.21875" style="48" customWidth="1"/>
    <col min="7944" max="7944" width="11.109375" style="48" customWidth="1"/>
    <col min="7945" max="7945" width="12.109375" style="48" customWidth="1"/>
    <col min="7946" max="7946" width="14.44140625" style="48" customWidth="1"/>
    <col min="7947" max="8192" width="8.88671875" style="48"/>
    <col min="8193" max="8193" width="22" style="48" customWidth="1"/>
    <col min="8194" max="8195" width="12.5546875" style="48" customWidth="1"/>
    <col min="8196" max="8196" width="12.109375" style="48" customWidth="1"/>
    <col min="8197" max="8197" width="12.77734375" style="48" customWidth="1"/>
    <col min="8198" max="8198" width="11.88671875" style="48" customWidth="1"/>
    <col min="8199" max="8199" width="14.21875" style="48" customWidth="1"/>
    <col min="8200" max="8200" width="11.109375" style="48" customWidth="1"/>
    <col min="8201" max="8201" width="12.109375" style="48" customWidth="1"/>
    <col min="8202" max="8202" width="14.44140625" style="48" customWidth="1"/>
    <col min="8203" max="8448" width="8.88671875" style="48"/>
    <col min="8449" max="8449" width="22" style="48" customWidth="1"/>
    <col min="8450" max="8451" width="12.5546875" style="48" customWidth="1"/>
    <col min="8452" max="8452" width="12.109375" style="48" customWidth="1"/>
    <col min="8453" max="8453" width="12.77734375" style="48" customWidth="1"/>
    <col min="8454" max="8454" width="11.88671875" style="48" customWidth="1"/>
    <col min="8455" max="8455" width="14.21875" style="48" customWidth="1"/>
    <col min="8456" max="8456" width="11.109375" style="48" customWidth="1"/>
    <col min="8457" max="8457" width="12.109375" style="48" customWidth="1"/>
    <col min="8458" max="8458" width="14.44140625" style="48" customWidth="1"/>
    <col min="8459" max="8704" width="8.88671875" style="48"/>
    <col min="8705" max="8705" width="22" style="48" customWidth="1"/>
    <col min="8706" max="8707" width="12.5546875" style="48" customWidth="1"/>
    <col min="8708" max="8708" width="12.109375" style="48" customWidth="1"/>
    <col min="8709" max="8709" width="12.77734375" style="48" customWidth="1"/>
    <col min="8710" max="8710" width="11.88671875" style="48" customWidth="1"/>
    <col min="8711" max="8711" width="14.21875" style="48" customWidth="1"/>
    <col min="8712" max="8712" width="11.109375" style="48" customWidth="1"/>
    <col min="8713" max="8713" width="12.109375" style="48" customWidth="1"/>
    <col min="8714" max="8714" width="14.44140625" style="48" customWidth="1"/>
    <col min="8715" max="8960" width="8.88671875" style="48"/>
    <col min="8961" max="8961" width="22" style="48" customWidth="1"/>
    <col min="8962" max="8963" width="12.5546875" style="48" customWidth="1"/>
    <col min="8964" max="8964" width="12.109375" style="48" customWidth="1"/>
    <col min="8965" max="8965" width="12.77734375" style="48" customWidth="1"/>
    <col min="8966" max="8966" width="11.88671875" style="48" customWidth="1"/>
    <col min="8967" max="8967" width="14.21875" style="48" customWidth="1"/>
    <col min="8968" max="8968" width="11.109375" style="48" customWidth="1"/>
    <col min="8969" max="8969" width="12.109375" style="48" customWidth="1"/>
    <col min="8970" max="8970" width="14.44140625" style="48" customWidth="1"/>
    <col min="8971" max="9216" width="8.88671875" style="48"/>
    <col min="9217" max="9217" width="22" style="48" customWidth="1"/>
    <col min="9218" max="9219" width="12.5546875" style="48" customWidth="1"/>
    <col min="9220" max="9220" width="12.109375" style="48" customWidth="1"/>
    <col min="9221" max="9221" width="12.77734375" style="48" customWidth="1"/>
    <col min="9222" max="9222" width="11.88671875" style="48" customWidth="1"/>
    <col min="9223" max="9223" width="14.21875" style="48" customWidth="1"/>
    <col min="9224" max="9224" width="11.109375" style="48" customWidth="1"/>
    <col min="9225" max="9225" width="12.109375" style="48" customWidth="1"/>
    <col min="9226" max="9226" width="14.44140625" style="48" customWidth="1"/>
    <col min="9227" max="9472" width="8.88671875" style="48"/>
    <col min="9473" max="9473" width="22" style="48" customWidth="1"/>
    <col min="9474" max="9475" width="12.5546875" style="48" customWidth="1"/>
    <col min="9476" max="9476" width="12.109375" style="48" customWidth="1"/>
    <col min="9477" max="9477" width="12.77734375" style="48" customWidth="1"/>
    <col min="9478" max="9478" width="11.88671875" style="48" customWidth="1"/>
    <col min="9479" max="9479" width="14.21875" style="48" customWidth="1"/>
    <col min="9480" max="9480" width="11.109375" style="48" customWidth="1"/>
    <col min="9481" max="9481" width="12.109375" style="48" customWidth="1"/>
    <col min="9482" max="9482" width="14.44140625" style="48" customWidth="1"/>
    <col min="9483" max="9728" width="8.88671875" style="48"/>
    <col min="9729" max="9729" width="22" style="48" customWidth="1"/>
    <col min="9730" max="9731" width="12.5546875" style="48" customWidth="1"/>
    <col min="9732" max="9732" width="12.109375" style="48" customWidth="1"/>
    <col min="9733" max="9733" width="12.77734375" style="48" customWidth="1"/>
    <col min="9734" max="9734" width="11.88671875" style="48" customWidth="1"/>
    <col min="9735" max="9735" width="14.21875" style="48" customWidth="1"/>
    <col min="9736" max="9736" width="11.109375" style="48" customWidth="1"/>
    <col min="9737" max="9737" width="12.109375" style="48" customWidth="1"/>
    <col min="9738" max="9738" width="14.44140625" style="48" customWidth="1"/>
    <col min="9739" max="9984" width="8.88671875" style="48"/>
    <col min="9985" max="9985" width="22" style="48" customWidth="1"/>
    <col min="9986" max="9987" width="12.5546875" style="48" customWidth="1"/>
    <col min="9988" max="9988" width="12.109375" style="48" customWidth="1"/>
    <col min="9989" max="9989" width="12.77734375" style="48" customWidth="1"/>
    <col min="9990" max="9990" width="11.88671875" style="48" customWidth="1"/>
    <col min="9991" max="9991" width="14.21875" style="48" customWidth="1"/>
    <col min="9992" max="9992" width="11.109375" style="48" customWidth="1"/>
    <col min="9993" max="9993" width="12.109375" style="48" customWidth="1"/>
    <col min="9994" max="9994" width="14.44140625" style="48" customWidth="1"/>
    <col min="9995" max="10240" width="8.88671875" style="48"/>
    <col min="10241" max="10241" width="22" style="48" customWidth="1"/>
    <col min="10242" max="10243" width="12.5546875" style="48" customWidth="1"/>
    <col min="10244" max="10244" width="12.109375" style="48" customWidth="1"/>
    <col min="10245" max="10245" width="12.77734375" style="48" customWidth="1"/>
    <col min="10246" max="10246" width="11.88671875" style="48" customWidth="1"/>
    <col min="10247" max="10247" width="14.21875" style="48" customWidth="1"/>
    <col min="10248" max="10248" width="11.109375" style="48" customWidth="1"/>
    <col min="10249" max="10249" width="12.109375" style="48" customWidth="1"/>
    <col min="10250" max="10250" width="14.44140625" style="48" customWidth="1"/>
    <col min="10251" max="10496" width="8.88671875" style="48"/>
    <col min="10497" max="10497" width="22" style="48" customWidth="1"/>
    <col min="10498" max="10499" width="12.5546875" style="48" customWidth="1"/>
    <col min="10500" max="10500" width="12.109375" style="48" customWidth="1"/>
    <col min="10501" max="10501" width="12.77734375" style="48" customWidth="1"/>
    <col min="10502" max="10502" width="11.88671875" style="48" customWidth="1"/>
    <col min="10503" max="10503" width="14.21875" style="48" customWidth="1"/>
    <col min="10504" max="10504" width="11.109375" style="48" customWidth="1"/>
    <col min="10505" max="10505" width="12.109375" style="48" customWidth="1"/>
    <col min="10506" max="10506" width="14.44140625" style="48" customWidth="1"/>
    <col min="10507" max="10752" width="8.88671875" style="48"/>
    <col min="10753" max="10753" width="22" style="48" customWidth="1"/>
    <col min="10754" max="10755" width="12.5546875" style="48" customWidth="1"/>
    <col min="10756" max="10756" width="12.109375" style="48" customWidth="1"/>
    <col min="10757" max="10757" width="12.77734375" style="48" customWidth="1"/>
    <col min="10758" max="10758" width="11.88671875" style="48" customWidth="1"/>
    <col min="10759" max="10759" width="14.21875" style="48" customWidth="1"/>
    <col min="10760" max="10760" width="11.109375" style="48" customWidth="1"/>
    <col min="10761" max="10761" width="12.109375" style="48" customWidth="1"/>
    <col min="10762" max="10762" width="14.44140625" style="48" customWidth="1"/>
    <col min="10763" max="11008" width="8.88671875" style="48"/>
    <col min="11009" max="11009" width="22" style="48" customWidth="1"/>
    <col min="11010" max="11011" width="12.5546875" style="48" customWidth="1"/>
    <col min="11012" max="11012" width="12.109375" style="48" customWidth="1"/>
    <col min="11013" max="11013" width="12.77734375" style="48" customWidth="1"/>
    <col min="11014" max="11014" width="11.88671875" style="48" customWidth="1"/>
    <col min="11015" max="11015" width="14.21875" style="48" customWidth="1"/>
    <col min="11016" max="11016" width="11.109375" style="48" customWidth="1"/>
    <col min="11017" max="11017" width="12.109375" style="48" customWidth="1"/>
    <col min="11018" max="11018" width="14.44140625" style="48" customWidth="1"/>
    <col min="11019" max="11264" width="8.88671875" style="48"/>
    <col min="11265" max="11265" width="22" style="48" customWidth="1"/>
    <col min="11266" max="11267" width="12.5546875" style="48" customWidth="1"/>
    <col min="11268" max="11268" width="12.109375" style="48" customWidth="1"/>
    <col min="11269" max="11269" width="12.77734375" style="48" customWidth="1"/>
    <col min="11270" max="11270" width="11.88671875" style="48" customWidth="1"/>
    <col min="11271" max="11271" width="14.21875" style="48" customWidth="1"/>
    <col min="11272" max="11272" width="11.109375" style="48" customWidth="1"/>
    <col min="11273" max="11273" width="12.109375" style="48" customWidth="1"/>
    <col min="11274" max="11274" width="14.44140625" style="48" customWidth="1"/>
    <col min="11275" max="11520" width="8.88671875" style="48"/>
    <col min="11521" max="11521" width="22" style="48" customWidth="1"/>
    <col min="11522" max="11523" width="12.5546875" style="48" customWidth="1"/>
    <col min="11524" max="11524" width="12.109375" style="48" customWidth="1"/>
    <col min="11525" max="11525" width="12.77734375" style="48" customWidth="1"/>
    <col min="11526" max="11526" width="11.88671875" style="48" customWidth="1"/>
    <col min="11527" max="11527" width="14.21875" style="48" customWidth="1"/>
    <col min="11528" max="11528" width="11.109375" style="48" customWidth="1"/>
    <col min="11529" max="11529" width="12.109375" style="48" customWidth="1"/>
    <col min="11530" max="11530" width="14.44140625" style="48" customWidth="1"/>
    <col min="11531" max="11776" width="8.88671875" style="48"/>
    <col min="11777" max="11777" width="22" style="48" customWidth="1"/>
    <col min="11778" max="11779" width="12.5546875" style="48" customWidth="1"/>
    <col min="11780" max="11780" width="12.109375" style="48" customWidth="1"/>
    <col min="11781" max="11781" width="12.77734375" style="48" customWidth="1"/>
    <col min="11782" max="11782" width="11.88671875" style="48" customWidth="1"/>
    <col min="11783" max="11783" width="14.21875" style="48" customWidth="1"/>
    <col min="11784" max="11784" width="11.109375" style="48" customWidth="1"/>
    <col min="11785" max="11785" width="12.109375" style="48" customWidth="1"/>
    <col min="11786" max="11786" width="14.44140625" style="48" customWidth="1"/>
    <col min="11787" max="12032" width="8.88671875" style="48"/>
    <col min="12033" max="12033" width="22" style="48" customWidth="1"/>
    <col min="12034" max="12035" width="12.5546875" style="48" customWidth="1"/>
    <col min="12036" max="12036" width="12.109375" style="48" customWidth="1"/>
    <col min="12037" max="12037" width="12.77734375" style="48" customWidth="1"/>
    <col min="12038" max="12038" width="11.88671875" style="48" customWidth="1"/>
    <col min="12039" max="12039" width="14.21875" style="48" customWidth="1"/>
    <col min="12040" max="12040" width="11.109375" style="48" customWidth="1"/>
    <col min="12041" max="12041" width="12.109375" style="48" customWidth="1"/>
    <col min="12042" max="12042" width="14.44140625" style="48" customWidth="1"/>
    <col min="12043" max="12288" width="8.88671875" style="48"/>
    <col min="12289" max="12289" width="22" style="48" customWidth="1"/>
    <col min="12290" max="12291" width="12.5546875" style="48" customWidth="1"/>
    <col min="12292" max="12292" width="12.109375" style="48" customWidth="1"/>
    <col min="12293" max="12293" width="12.77734375" style="48" customWidth="1"/>
    <col min="12294" max="12294" width="11.88671875" style="48" customWidth="1"/>
    <col min="12295" max="12295" width="14.21875" style="48" customWidth="1"/>
    <col min="12296" max="12296" width="11.109375" style="48" customWidth="1"/>
    <col min="12297" max="12297" width="12.109375" style="48" customWidth="1"/>
    <col min="12298" max="12298" width="14.44140625" style="48" customWidth="1"/>
    <col min="12299" max="12544" width="8.88671875" style="48"/>
    <col min="12545" max="12545" width="22" style="48" customWidth="1"/>
    <col min="12546" max="12547" width="12.5546875" style="48" customWidth="1"/>
    <col min="12548" max="12548" width="12.109375" style="48" customWidth="1"/>
    <col min="12549" max="12549" width="12.77734375" style="48" customWidth="1"/>
    <col min="12550" max="12550" width="11.88671875" style="48" customWidth="1"/>
    <col min="12551" max="12551" width="14.21875" style="48" customWidth="1"/>
    <col min="12552" max="12552" width="11.109375" style="48" customWidth="1"/>
    <col min="12553" max="12553" width="12.109375" style="48" customWidth="1"/>
    <col min="12554" max="12554" width="14.44140625" style="48" customWidth="1"/>
    <col min="12555" max="12800" width="8.88671875" style="48"/>
    <col min="12801" max="12801" width="22" style="48" customWidth="1"/>
    <col min="12802" max="12803" width="12.5546875" style="48" customWidth="1"/>
    <col min="12804" max="12804" width="12.109375" style="48" customWidth="1"/>
    <col min="12805" max="12805" width="12.77734375" style="48" customWidth="1"/>
    <col min="12806" max="12806" width="11.88671875" style="48" customWidth="1"/>
    <col min="12807" max="12807" width="14.21875" style="48" customWidth="1"/>
    <col min="12808" max="12808" width="11.109375" style="48" customWidth="1"/>
    <col min="12809" max="12809" width="12.109375" style="48" customWidth="1"/>
    <col min="12810" max="12810" width="14.44140625" style="48" customWidth="1"/>
    <col min="12811" max="13056" width="8.88671875" style="48"/>
    <col min="13057" max="13057" width="22" style="48" customWidth="1"/>
    <col min="13058" max="13059" width="12.5546875" style="48" customWidth="1"/>
    <col min="13060" max="13060" width="12.109375" style="48" customWidth="1"/>
    <col min="13061" max="13061" width="12.77734375" style="48" customWidth="1"/>
    <col min="13062" max="13062" width="11.88671875" style="48" customWidth="1"/>
    <col min="13063" max="13063" width="14.21875" style="48" customWidth="1"/>
    <col min="13064" max="13064" width="11.109375" style="48" customWidth="1"/>
    <col min="13065" max="13065" width="12.109375" style="48" customWidth="1"/>
    <col min="13066" max="13066" width="14.44140625" style="48" customWidth="1"/>
    <col min="13067" max="13312" width="8.88671875" style="48"/>
    <col min="13313" max="13313" width="22" style="48" customWidth="1"/>
    <col min="13314" max="13315" width="12.5546875" style="48" customWidth="1"/>
    <col min="13316" max="13316" width="12.109375" style="48" customWidth="1"/>
    <col min="13317" max="13317" width="12.77734375" style="48" customWidth="1"/>
    <col min="13318" max="13318" width="11.88671875" style="48" customWidth="1"/>
    <col min="13319" max="13319" width="14.21875" style="48" customWidth="1"/>
    <col min="13320" max="13320" width="11.109375" style="48" customWidth="1"/>
    <col min="13321" max="13321" width="12.109375" style="48" customWidth="1"/>
    <col min="13322" max="13322" width="14.44140625" style="48" customWidth="1"/>
    <col min="13323" max="13568" width="8.88671875" style="48"/>
    <col min="13569" max="13569" width="22" style="48" customWidth="1"/>
    <col min="13570" max="13571" width="12.5546875" style="48" customWidth="1"/>
    <col min="13572" max="13572" width="12.109375" style="48" customWidth="1"/>
    <col min="13573" max="13573" width="12.77734375" style="48" customWidth="1"/>
    <col min="13574" max="13574" width="11.88671875" style="48" customWidth="1"/>
    <col min="13575" max="13575" width="14.21875" style="48" customWidth="1"/>
    <col min="13576" max="13576" width="11.109375" style="48" customWidth="1"/>
    <col min="13577" max="13577" width="12.109375" style="48" customWidth="1"/>
    <col min="13578" max="13578" width="14.44140625" style="48" customWidth="1"/>
    <col min="13579" max="13824" width="8.88671875" style="48"/>
    <col min="13825" max="13825" width="22" style="48" customWidth="1"/>
    <col min="13826" max="13827" width="12.5546875" style="48" customWidth="1"/>
    <col min="13828" max="13828" width="12.109375" style="48" customWidth="1"/>
    <col min="13829" max="13829" width="12.77734375" style="48" customWidth="1"/>
    <col min="13830" max="13830" width="11.88671875" style="48" customWidth="1"/>
    <col min="13831" max="13831" width="14.21875" style="48" customWidth="1"/>
    <col min="13832" max="13832" width="11.109375" style="48" customWidth="1"/>
    <col min="13833" max="13833" width="12.109375" style="48" customWidth="1"/>
    <col min="13834" max="13834" width="14.44140625" style="48" customWidth="1"/>
    <col min="13835" max="14080" width="8.88671875" style="48"/>
    <col min="14081" max="14081" width="22" style="48" customWidth="1"/>
    <col min="14082" max="14083" width="12.5546875" style="48" customWidth="1"/>
    <col min="14084" max="14084" width="12.109375" style="48" customWidth="1"/>
    <col min="14085" max="14085" width="12.77734375" style="48" customWidth="1"/>
    <col min="14086" max="14086" width="11.88671875" style="48" customWidth="1"/>
    <col min="14087" max="14087" width="14.21875" style="48" customWidth="1"/>
    <col min="14088" max="14088" width="11.109375" style="48" customWidth="1"/>
    <col min="14089" max="14089" width="12.109375" style="48" customWidth="1"/>
    <col min="14090" max="14090" width="14.44140625" style="48" customWidth="1"/>
    <col min="14091" max="14336" width="8.88671875" style="48"/>
    <col min="14337" max="14337" width="22" style="48" customWidth="1"/>
    <col min="14338" max="14339" width="12.5546875" style="48" customWidth="1"/>
    <col min="14340" max="14340" width="12.109375" style="48" customWidth="1"/>
    <col min="14341" max="14341" width="12.77734375" style="48" customWidth="1"/>
    <col min="14342" max="14342" width="11.88671875" style="48" customWidth="1"/>
    <col min="14343" max="14343" width="14.21875" style="48" customWidth="1"/>
    <col min="14344" max="14344" width="11.109375" style="48" customWidth="1"/>
    <col min="14345" max="14345" width="12.109375" style="48" customWidth="1"/>
    <col min="14346" max="14346" width="14.44140625" style="48" customWidth="1"/>
    <col min="14347" max="14592" width="8.88671875" style="48"/>
    <col min="14593" max="14593" width="22" style="48" customWidth="1"/>
    <col min="14594" max="14595" width="12.5546875" style="48" customWidth="1"/>
    <col min="14596" max="14596" width="12.109375" style="48" customWidth="1"/>
    <col min="14597" max="14597" width="12.77734375" style="48" customWidth="1"/>
    <col min="14598" max="14598" width="11.88671875" style="48" customWidth="1"/>
    <col min="14599" max="14599" width="14.21875" style="48" customWidth="1"/>
    <col min="14600" max="14600" width="11.109375" style="48" customWidth="1"/>
    <col min="14601" max="14601" width="12.109375" style="48" customWidth="1"/>
    <col min="14602" max="14602" width="14.44140625" style="48" customWidth="1"/>
    <col min="14603" max="14848" width="8.88671875" style="48"/>
    <col min="14849" max="14849" width="22" style="48" customWidth="1"/>
    <col min="14850" max="14851" width="12.5546875" style="48" customWidth="1"/>
    <col min="14852" max="14852" width="12.109375" style="48" customWidth="1"/>
    <col min="14853" max="14853" width="12.77734375" style="48" customWidth="1"/>
    <col min="14854" max="14854" width="11.88671875" style="48" customWidth="1"/>
    <col min="14855" max="14855" width="14.21875" style="48" customWidth="1"/>
    <col min="14856" max="14856" width="11.109375" style="48" customWidth="1"/>
    <col min="14857" max="14857" width="12.109375" style="48" customWidth="1"/>
    <col min="14858" max="14858" width="14.44140625" style="48" customWidth="1"/>
    <col min="14859" max="15104" width="8.88671875" style="48"/>
    <col min="15105" max="15105" width="22" style="48" customWidth="1"/>
    <col min="15106" max="15107" width="12.5546875" style="48" customWidth="1"/>
    <col min="15108" max="15108" width="12.109375" style="48" customWidth="1"/>
    <col min="15109" max="15109" width="12.77734375" style="48" customWidth="1"/>
    <col min="15110" max="15110" width="11.88671875" style="48" customWidth="1"/>
    <col min="15111" max="15111" width="14.21875" style="48" customWidth="1"/>
    <col min="15112" max="15112" width="11.109375" style="48" customWidth="1"/>
    <col min="15113" max="15113" width="12.109375" style="48" customWidth="1"/>
    <col min="15114" max="15114" width="14.44140625" style="48" customWidth="1"/>
    <col min="15115" max="15360" width="8.88671875" style="48"/>
    <col min="15361" max="15361" width="22" style="48" customWidth="1"/>
    <col min="15362" max="15363" width="12.5546875" style="48" customWidth="1"/>
    <col min="15364" max="15364" width="12.109375" style="48" customWidth="1"/>
    <col min="15365" max="15365" width="12.77734375" style="48" customWidth="1"/>
    <col min="15366" max="15366" width="11.88671875" style="48" customWidth="1"/>
    <col min="15367" max="15367" width="14.21875" style="48" customWidth="1"/>
    <col min="15368" max="15368" width="11.109375" style="48" customWidth="1"/>
    <col min="15369" max="15369" width="12.109375" style="48" customWidth="1"/>
    <col min="15370" max="15370" width="14.44140625" style="48" customWidth="1"/>
    <col min="15371" max="15616" width="8.88671875" style="48"/>
    <col min="15617" max="15617" width="22" style="48" customWidth="1"/>
    <col min="15618" max="15619" width="12.5546875" style="48" customWidth="1"/>
    <col min="15620" max="15620" width="12.109375" style="48" customWidth="1"/>
    <col min="15621" max="15621" width="12.77734375" style="48" customWidth="1"/>
    <col min="15622" max="15622" width="11.88671875" style="48" customWidth="1"/>
    <col min="15623" max="15623" width="14.21875" style="48" customWidth="1"/>
    <col min="15624" max="15624" width="11.109375" style="48" customWidth="1"/>
    <col min="15625" max="15625" width="12.109375" style="48" customWidth="1"/>
    <col min="15626" max="15626" width="14.44140625" style="48" customWidth="1"/>
    <col min="15627" max="15872" width="8.88671875" style="48"/>
    <col min="15873" max="15873" width="22" style="48" customWidth="1"/>
    <col min="15874" max="15875" width="12.5546875" style="48" customWidth="1"/>
    <col min="15876" max="15876" width="12.109375" style="48" customWidth="1"/>
    <col min="15877" max="15877" width="12.77734375" style="48" customWidth="1"/>
    <col min="15878" max="15878" width="11.88671875" style="48" customWidth="1"/>
    <col min="15879" max="15879" width="14.21875" style="48" customWidth="1"/>
    <col min="15880" max="15880" width="11.109375" style="48" customWidth="1"/>
    <col min="15881" max="15881" width="12.109375" style="48" customWidth="1"/>
    <col min="15882" max="15882" width="14.44140625" style="48" customWidth="1"/>
    <col min="15883" max="16128" width="8.88671875" style="48"/>
    <col min="16129" max="16129" width="22" style="48" customWidth="1"/>
    <col min="16130" max="16131" width="12.5546875" style="48" customWidth="1"/>
    <col min="16132" max="16132" width="12.109375" style="48" customWidth="1"/>
    <col min="16133" max="16133" width="12.77734375" style="48" customWidth="1"/>
    <col min="16134" max="16134" width="11.88671875" style="48" customWidth="1"/>
    <col min="16135" max="16135" width="14.21875" style="48" customWidth="1"/>
    <col min="16136" max="16136" width="11.109375" style="48" customWidth="1"/>
    <col min="16137" max="16137" width="12.109375" style="48" customWidth="1"/>
    <col min="16138" max="16138" width="14.44140625" style="48" customWidth="1"/>
    <col min="16139" max="16384" width="8.88671875" style="48"/>
  </cols>
  <sheetData>
    <row r="1" spans="1:10" x14ac:dyDescent="0.15">
      <c r="A1" s="26" t="s">
        <v>351</v>
      </c>
      <c r="B1" s="27"/>
      <c r="C1" s="27"/>
      <c r="D1" s="27"/>
      <c r="E1" s="27"/>
      <c r="F1" s="27"/>
      <c r="G1" s="27"/>
      <c r="H1" s="27"/>
      <c r="I1" s="27"/>
      <c r="J1" s="28"/>
    </row>
    <row r="2" spans="1:10" x14ac:dyDescent="0.15">
      <c r="A2" s="29" t="s">
        <v>197</v>
      </c>
      <c r="B2" s="30" t="s">
        <v>198</v>
      </c>
      <c r="C2" s="30"/>
      <c r="D2" s="30" t="s">
        <v>199</v>
      </c>
      <c r="E2" s="30" t="s">
        <v>200</v>
      </c>
      <c r="F2" s="30" t="s">
        <v>241</v>
      </c>
      <c r="G2" s="31" t="s">
        <v>242</v>
      </c>
      <c r="H2" s="30" t="s">
        <v>243</v>
      </c>
      <c r="I2" s="30" t="s">
        <v>203</v>
      </c>
      <c r="J2" s="32"/>
    </row>
    <row r="3" spans="1:10" collapsed="1" x14ac:dyDescent="0.15">
      <c r="A3" s="33"/>
      <c r="B3" s="30"/>
      <c r="C3" s="30"/>
      <c r="D3" s="32"/>
      <c r="E3" s="32"/>
      <c r="F3" s="32"/>
      <c r="G3" s="34"/>
      <c r="H3" s="32"/>
      <c r="I3" s="35" t="s">
        <v>206</v>
      </c>
      <c r="J3" s="35" t="s">
        <v>207</v>
      </c>
    </row>
    <row r="4" spans="1:10" x14ac:dyDescent="0.15">
      <c r="A4" s="36" t="s">
        <v>213</v>
      </c>
      <c r="B4" s="30" t="s">
        <v>214</v>
      </c>
      <c r="C4" s="30"/>
      <c r="D4" s="35" t="s">
        <v>214</v>
      </c>
      <c r="E4" s="35" t="s">
        <v>214</v>
      </c>
      <c r="F4" s="35" t="s">
        <v>215</v>
      </c>
      <c r="G4" s="37" t="s">
        <v>216</v>
      </c>
      <c r="H4" s="35" t="s">
        <v>244</v>
      </c>
      <c r="I4" s="35" t="s">
        <v>217</v>
      </c>
      <c r="J4" s="35" t="s">
        <v>217</v>
      </c>
    </row>
    <row r="5" spans="1:10" x14ac:dyDescent="0.15">
      <c r="A5" s="42" t="s">
        <v>245</v>
      </c>
      <c r="B5" s="43">
        <v>0.7</v>
      </c>
      <c r="C5" s="43"/>
      <c r="D5" s="38">
        <v>1.8</v>
      </c>
      <c r="E5" s="38">
        <v>14.4</v>
      </c>
      <c r="F5" s="38">
        <v>325</v>
      </c>
      <c r="G5" s="38" t="s">
        <v>246</v>
      </c>
      <c r="H5" s="38">
        <v>3.5</v>
      </c>
      <c r="I5" s="38">
        <v>37</v>
      </c>
      <c r="J5" s="38">
        <v>46</v>
      </c>
    </row>
    <row r="6" spans="1:10" x14ac:dyDescent="0.15">
      <c r="A6" s="42" t="s">
        <v>247</v>
      </c>
      <c r="B6" s="43">
        <v>0.7</v>
      </c>
      <c r="C6" s="43"/>
      <c r="D6" s="38">
        <v>1.8</v>
      </c>
      <c r="E6" s="38">
        <v>15.4</v>
      </c>
      <c r="F6" s="38">
        <v>387</v>
      </c>
      <c r="G6" s="38" t="s">
        <v>248</v>
      </c>
      <c r="H6" s="38">
        <v>3.5</v>
      </c>
      <c r="I6" s="38">
        <v>47</v>
      </c>
      <c r="J6" s="38">
        <v>56</v>
      </c>
    </row>
    <row r="7" spans="1:10" x14ac:dyDescent="0.15">
      <c r="A7" s="42" t="s">
        <v>249</v>
      </c>
      <c r="B7" s="43">
        <v>0.7</v>
      </c>
      <c r="C7" s="43"/>
      <c r="D7" s="38">
        <v>1.8</v>
      </c>
      <c r="E7" s="38">
        <v>18.399999999999999</v>
      </c>
      <c r="F7" s="38">
        <v>538</v>
      </c>
      <c r="G7" s="38" t="s">
        <v>250</v>
      </c>
      <c r="H7" s="38">
        <v>3.5</v>
      </c>
      <c r="I7" s="38">
        <v>64</v>
      </c>
      <c r="J7" s="38">
        <v>76</v>
      </c>
    </row>
    <row r="8" spans="1:10" x14ac:dyDescent="0.15">
      <c r="A8" s="42" t="s">
        <v>251</v>
      </c>
      <c r="B8" s="43">
        <v>0.7</v>
      </c>
      <c r="C8" s="43"/>
      <c r="D8" s="38">
        <v>1.8</v>
      </c>
      <c r="E8" s="38">
        <v>20.5</v>
      </c>
      <c r="F8" s="38">
        <v>700</v>
      </c>
      <c r="G8" s="38" t="s">
        <v>252</v>
      </c>
      <c r="H8" s="38">
        <v>3.5</v>
      </c>
      <c r="I8" s="38">
        <v>84</v>
      </c>
      <c r="J8" s="38">
        <v>98</v>
      </c>
    </row>
    <row r="9" spans="1:10" x14ac:dyDescent="0.15">
      <c r="A9" s="42" t="s">
        <v>253</v>
      </c>
      <c r="B9" s="43">
        <v>0.9</v>
      </c>
      <c r="C9" s="43"/>
      <c r="D9" s="38">
        <v>1.8</v>
      </c>
      <c r="E9" s="38">
        <v>23.6</v>
      </c>
      <c r="F9" s="38">
        <v>939</v>
      </c>
      <c r="G9" s="38" t="s">
        <v>254</v>
      </c>
      <c r="H9" s="38">
        <v>3.5</v>
      </c>
      <c r="I9" s="38">
        <v>115</v>
      </c>
      <c r="J9" s="38">
        <v>126</v>
      </c>
    </row>
    <row r="10" spans="1:10" x14ac:dyDescent="0.15">
      <c r="A10" s="42" t="s">
        <v>255</v>
      </c>
      <c r="B10" s="43">
        <v>0.9</v>
      </c>
      <c r="C10" s="43"/>
      <c r="D10" s="38">
        <v>1.8</v>
      </c>
      <c r="E10" s="38">
        <v>25.6</v>
      </c>
      <c r="F10" s="38">
        <v>1174</v>
      </c>
      <c r="G10" s="38" t="s">
        <v>256</v>
      </c>
      <c r="H10" s="38">
        <v>3.5</v>
      </c>
      <c r="I10" s="38">
        <v>141</v>
      </c>
      <c r="J10" s="38">
        <v>152</v>
      </c>
    </row>
    <row r="11" spans="1:10" x14ac:dyDescent="0.15">
      <c r="A11" s="42" t="s">
        <v>257</v>
      </c>
      <c r="B11" s="43">
        <v>1</v>
      </c>
      <c r="C11" s="43"/>
      <c r="D11" s="38">
        <v>1.8</v>
      </c>
      <c r="E11" s="38">
        <v>23.4</v>
      </c>
      <c r="F11" s="38">
        <v>1393</v>
      </c>
      <c r="G11" s="38" t="s">
        <v>258</v>
      </c>
      <c r="H11" s="38">
        <v>3.5</v>
      </c>
      <c r="I11" s="38">
        <v>172</v>
      </c>
      <c r="J11" s="38">
        <v>181</v>
      </c>
    </row>
    <row r="12" spans="1:10" x14ac:dyDescent="0.15">
      <c r="A12" s="42" t="s">
        <v>259</v>
      </c>
      <c r="B12" s="43">
        <v>1.1000000000000001</v>
      </c>
      <c r="C12" s="43"/>
      <c r="D12" s="38">
        <v>1.8</v>
      </c>
      <c r="E12" s="38">
        <v>26.2</v>
      </c>
      <c r="F12" s="38">
        <v>2132</v>
      </c>
      <c r="G12" s="38" t="s">
        <v>260</v>
      </c>
      <c r="H12" s="38">
        <v>3.5</v>
      </c>
      <c r="I12" s="38">
        <v>218</v>
      </c>
      <c r="J12" s="38">
        <v>222</v>
      </c>
    </row>
    <row r="13" spans="1:10" x14ac:dyDescent="0.15">
      <c r="A13" s="42" t="s">
        <v>261</v>
      </c>
      <c r="B13" s="43">
        <v>1.1000000000000001</v>
      </c>
      <c r="C13" s="43"/>
      <c r="D13" s="38">
        <v>1.9</v>
      </c>
      <c r="E13" s="38">
        <v>29.5</v>
      </c>
      <c r="F13" s="38">
        <v>2694</v>
      </c>
      <c r="G13" s="38" t="s">
        <v>262</v>
      </c>
      <c r="H13" s="38">
        <v>3.5</v>
      </c>
      <c r="I13" s="38">
        <v>269</v>
      </c>
      <c r="J13" s="38">
        <v>267</v>
      </c>
    </row>
    <row r="14" spans="1:10" x14ac:dyDescent="0.15">
      <c r="A14" s="42" t="s">
        <v>263</v>
      </c>
      <c r="B14" s="43">
        <v>1.2</v>
      </c>
      <c r="C14" s="43"/>
      <c r="D14" s="38">
        <v>2</v>
      </c>
      <c r="E14" s="38">
        <v>33</v>
      </c>
      <c r="F14" s="38">
        <v>3276</v>
      </c>
      <c r="G14" s="38" t="s">
        <v>264</v>
      </c>
      <c r="H14" s="38">
        <v>3.5</v>
      </c>
      <c r="I14" s="38">
        <v>313</v>
      </c>
      <c r="J14" s="38">
        <v>305</v>
      </c>
    </row>
    <row r="15" spans="1:10" x14ac:dyDescent="0.15">
      <c r="A15" s="42" t="s">
        <v>265</v>
      </c>
      <c r="B15" s="43">
        <v>1.4</v>
      </c>
      <c r="C15" s="43"/>
      <c r="D15" s="38">
        <v>2.1</v>
      </c>
      <c r="E15" s="38">
        <v>36.1</v>
      </c>
      <c r="F15" s="38">
        <v>3997</v>
      </c>
      <c r="G15" s="38" t="s">
        <v>266</v>
      </c>
      <c r="H15" s="38">
        <v>3.5</v>
      </c>
      <c r="I15" s="38">
        <v>359</v>
      </c>
      <c r="J15" s="38">
        <v>344</v>
      </c>
    </row>
    <row r="16" spans="1:10" x14ac:dyDescent="0.15">
      <c r="A16" s="26" t="s">
        <v>352</v>
      </c>
      <c r="B16" s="27"/>
      <c r="C16" s="27"/>
      <c r="D16" s="27"/>
      <c r="E16" s="27"/>
      <c r="F16" s="27"/>
      <c r="G16" s="27"/>
      <c r="H16" s="27"/>
      <c r="I16" s="27"/>
      <c r="J16" s="28"/>
    </row>
    <row r="17" spans="1:11" x14ac:dyDescent="0.15">
      <c r="A17" s="29" t="s">
        <v>197</v>
      </c>
      <c r="B17" s="30" t="s">
        <v>198</v>
      </c>
      <c r="C17" s="30"/>
      <c r="D17" s="30" t="s">
        <v>199</v>
      </c>
      <c r="E17" s="30" t="s">
        <v>200</v>
      </c>
      <c r="F17" s="30" t="s">
        <v>241</v>
      </c>
      <c r="G17" s="31" t="s">
        <v>242</v>
      </c>
      <c r="H17" s="30" t="s">
        <v>243</v>
      </c>
      <c r="I17" s="30" t="s">
        <v>203</v>
      </c>
      <c r="J17" s="32"/>
    </row>
    <row r="18" spans="1:11" x14ac:dyDescent="0.15">
      <c r="A18" s="33"/>
      <c r="B18" s="30"/>
      <c r="C18" s="30"/>
      <c r="D18" s="32"/>
      <c r="E18" s="32"/>
      <c r="F18" s="32"/>
      <c r="G18" s="34"/>
      <c r="H18" s="32"/>
      <c r="I18" s="35" t="s">
        <v>206</v>
      </c>
      <c r="J18" s="35" t="s">
        <v>207</v>
      </c>
    </row>
    <row r="19" spans="1:11" x14ac:dyDescent="0.15">
      <c r="A19" s="36" t="s">
        <v>213</v>
      </c>
      <c r="B19" s="30" t="s">
        <v>214</v>
      </c>
      <c r="C19" s="30"/>
      <c r="D19" s="35" t="s">
        <v>214</v>
      </c>
      <c r="E19" s="35" t="s">
        <v>214</v>
      </c>
      <c r="F19" s="35" t="s">
        <v>215</v>
      </c>
      <c r="G19" s="37" t="s">
        <v>216</v>
      </c>
      <c r="H19" s="35" t="s">
        <v>244</v>
      </c>
      <c r="I19" s="35" t="s">
        <v>217</v>
      </c>
      <c r="J19" s="35" t="s">
        <v>217</v>
      </c>
    </row>
    <row r="20" spans="1:11" x14ac:dyDescent="0.15">
      <c r="A20" s="42" t="s">
        <v>267</v>
      </c>
      <c r="B20" s="43">
        <v>0.7</v>
      </c>
      <c r="C20" s="43"/>
      <c r="D20" s="44">
        <v>1.5</v>
      </c>
      <c r="E20" s="44">
        <v>13</v>
      </c>
      <c r="F20" s="44">
        <v>273</v>
      </c>
      <c r="G20" s="44" t="s">
        <v>268</v>
      </c>
      <c r="H20" s="44">
        <v>3.5</v>
      </c>
      <c r="I20" s="44">
        <v>21</v>
      </c>
      <c r="J20" s="44">
        <v>26</v>
      </c>
      <c r="K20" s="49"/>
    </row>
    <row r="21" spans="1:11" x14ac:dyDescent="0.15">
      <c r="A21" s="50" t="s">
        <v>269</v>
      </c>
      <c r="B21" s="51">
        <v>0.7</v>
      </c>
      <c r="C21" s="51"/>
      <c r="D21" s="52">
        <v>1.5</v>
      </c>
      <c r="E21" s="52">
        <v>13.9</v>
      </c>
      <c r="F21" s="52">
        <v>321</v>
      </c>
      <c r="G21" s="52" t="s">
        <v>270</v>
      </c>
      <c r="H21" s="52">
        <v>3.5</v>
      </c>
      <c r="I21" s="52">
        <v>28</v>
      </c>
      <c r="J21" s="52">
        <v>35</v>
      </c>
      <c r="K21" s="49"/>
    </row>
    <row r="22" spans="1:11" x14ac:dyDescent="0.15">
      <c r="A22" s="50" t="s">
        <v>271</v>
      </c>
      <c r="B22" s="51">
        <v>0.7</v>
      </c>
      <c r="C22" s="51"/>
      <c r="D22" s="52">
        <v>1.5</v>
      </c>
      <c r="E22" s="52">
        <v>15</v>
      </c>
      <c r="F22" s="52">
        <v>390</v>
      </c>
      <c r="G22" s="52" t="s">
        <v>246</v>
      </c>
      <c r="H22" s="52">
        <v>3.5</v>
      </c>
      <c r="I22" s="52">
        <v>37</v>
      </c>
      <c r="J22" s="52">
        <v>46</v>
      </c>
      <c r="K22" s="49"/>
    </row>
    <row r="23" spans="1:11" x14ac:dyDescent="0.15">
      <c r="A23" s="50" t="s">
        <v>272</v>
      </c>
      <c r="B23" s="51">
        <v>0.7</v>
      </c>
      <c r="C23" s="51"/>
      <c r="D23" s="52">
        <v>1.5</v>
      </c>
      <c r="E23" s="52">
        <v>16.100000000000001</v>
      </c>
      <c r="F23" s="52">
        <v>471</v>
      </c>
      <c r="G23" s="52" t="s">
        <v>248</v>
      </c>
      <c r="H23" s="52">
        <v>3.5</v>
      </c>
      <c r="I23" s="52">
        <v>47</v>
      </c>
      <c r="J23" s="52">
        <v>56</v>
      </c>
      <c r="K23" s="49"/>
    </row>
    <row r="24" spans="1:11" x14ac:dyDescent="0.15">
      <c r="A24" s="50" t="s">
        <v>273</v>
      </c>
      <c r="B24" s="51">
        <v>0.7</v>
      </c>
      <c r="C24" s="51"/>
      <c r="D24" s="52">
        <v>1.5</v>
      </c>
      <c r="E24" s="52">
        <v>17.8</v>
      </c>
      <c r="F24" s="52">
        <v>622</v>
      </c>
      <c r="G24" s="52" t="s">
        <v>250</v>
      </c>
      <c r="H24" s="52">
        <v>3.5</v>
      </c>
      <c r="I24" s="52">
        <v>64</v>
      </c>
      <c r="J24" s="52">
        <v>76</v>
      </c>
      <c r="K24" s="49"/>
    </row>
    <row r="25" spans="1:11" x14ac:dyDescent="0.15">
      <c r="A25" s="50" t="s">
        <v>274</v>
      </c>
      <c r="B25" s="51">
        <v>0.7</v>
      </c>
      <c r="C25" s="51"/>
      <c r="D25" s="52">
        <v>2</v>
      </c>
      <c r="E25" s="52">
        <v>21.5</v>
      </c>
      <c r="F25" s="52">
        <v>1005</v>
      </c>
      <c r="G25" s="52" t="s">
        <v>252</v>
      </c>
      <c r="H25" s="52">
        <v>3.5</v>
      </c>
      <c r="I25" s="52">
        <v>84</v>
      </c>
      <c r="J25" s="52">
        <v>98</v>
      </c>
      <c r="K25" s="49"/>
    </row>
    <row r="26" spans="1:11" x14ac:dyDescent="0.15">
      <c r="A26" s="50" t="s">
        <v>230</v>
      </c>
      <c r="B26" s="51">
        <v>0.9</v>
      </c>
      <c r="C26" s="51"/>
      <c r="D26" s="52">
        <v>2</v>
      </c>
      <c r="E26" s="52">
        <v>24.8</v>
      </c>
      <c r="F26" s="52">
        <v>1371</v>
      </c>
      <c r="G26" s="52" t="s">
        <v>254</v>
      </c>
      <c r="H26" s="52">
        <v>3.5</v>
      </c>
      <c r="I26" s="52">
        <v>115</v>
      </c>
      <c r="J26" s="52">
        <v>126</v>
      </c>
      <c r="K26" s="49"/>
    </row>
    <row r="27" spans="1:11" ht="13.2" customHeight="1" x14ac:dyDescent="0.15">
      <c r="A27" s="50" t="s">
        <v>232</v>
      </c>
      <c r="B27" s="51">
        <v>0.9</v>
      </c>
      <c r="C27" s="51"/>
      <c r="D27" s="52">
        <v>2</v>
      </c>
      <c r="E27" s="52">
        <v>27.2</v>
      </c>
      <c r="F27" s="52">
        <v>1724</v>
      </c>
      <c r="G27" s="52" t="s">
        <v>256</v>
      </c>
      <c r="H27" s="52">
        <v>3.5</v>
      </c>
      <c r="I27" s="52">
        <v>141</v>
      </c>
      <c r="J27" s="52">
        <v>152</v>
      </c>
      <c r="K27" s="49"/>
    </row>
    <row r="28" spans="1:11" x14ac:dyDescent="0.15">
      <c r="A28" s="50" t="s">
        <v>233</v>
      </c>
      <c r="B28" s="51">
        <v>1</v>
      </c>
      <c r="C28" s="51"/>
      <c r="D28" s="52">
        <v>2</v>
      </c>
      <c r="E28" s="52">
        <v>30.4</v>
      </c>
      <c r="F28" s="52">
        <v>2247</v>
      </c>
      <c r="G28" s="52" t="s">
        <v>258</v>
      </c>
      <c r="H28" s="52">
        <v>3.5</v>
      </c>
      <c r="I28" s="52">
        <v>172</v>
      </c>
      <c r="J28" s="52">
        <v>181</v>
      </c>
      <c r="K28" s="53"/>
    </row>
    <row r="29" spans="1:11" x14ac:dyDescent="0.15">
      <c r="A29" s="50" t="s">
        <v>234</v>
      </c>
      <c r="B29" s="51">
        <v>1.1000000000000001</v>
      </c>
      <c r="C29" s="51"/>
      <c r="D29" s="52">
        <v>2.5</v>
      </c>
      <c r="E29" s="52">
        <v>35.299999999999997</v>
      </c>
      <c r="F29" s="52">
        <v>3023</v>
      </c>
      <c r="G29" s="52" t="s">
        <v>260</v>
      </c>
      <c r="H29" s="52">
        <v>3.5</v>
      </c>
      <c r="I29" s="52">
        <v>218</v>
      </c>
      <c r="J29" s="52">
        <v>222</v>
      </c>
      <c r="K29" s="49"/>
    </row>
    <row r="30" spans="1:11" x14ac:dyDescent="0.15">
      <c r="A30" s="50" t="s">
        <v>235</v>
      </c>
      <c r="B30" s="51">
        <v>1.1000000000000001</v>
      </c>
      <c r="C30" s="51"/>
      <c r="D30" s="52">
        <v>2.5</v>
      </c>
      <c r="E30" s="52">
        <v>38.700000000000003</v>
      </c>
      <c r="F30" s="52">
        <v>3825</v>
      </c>
      <c r="G30" s="52" t="s">
        <v>262</v>
      </c>
      <c r="H30" s="52">
        <v>3.5</v>
      </c>
      <c r="I30" s="52">
        <v>269</v>
      </c>
      <c r="J30" s="52">
        <v>267</v>
      </c>
      <c r="K30" s="49"/>
    </row>
    <row r="31" spans="1:11" x14ac:dyDescent="0.15">
      <c r="A31" s="50" t="s">
        <v>236</v>
      </c>
      <c r="B31" s="51">
        <v>1.2</v>
      </c>
      <c r="C31" s="51"/>
      <c r="D31" s="52">
        <v>2.5</v>
      </c>
      <c r="E31" s="52">
        <v>42.2</v>
      </c>
      <c r="F31" s="52">
        <v>4642</v>
      </c>
      <c r="G31" s="52" t="s">
        <v>264</v>
      </c>
      <c r="H31" s="52">
        <v>3.5</v>
      </c>
      <c r="I31" s="52">
        <v>313</v>
      </c>
      <c r="J31" s="52">
        <v>305</v>
      </c>
      <c r="K31" s="49"/>
    </row>
    <row r="32" spans="1:11" x14ac:dyDescent="0.15">
      <c r="A32" s="50" t="s">
        <v>237</v>
      </c>
      <c r="B32" s="51">
        <v>1.4</v>
      </c>
      <c r="C32" s="51"/>
      <c r="D32" s="52">
        <v>3</v>
      </c>
      <c r="E32" s="52">
        <v>47.5</v>
      </c>
      <c r="F32" s="52">
        <v>5767</v>
      </c>
      <c r="G32" s="52" t="s">
        <v>266</v>
      </c>
      <c r="H32" s="52">
        <v>3.5</v>
      </c>
      <c r="I32" s="52">
        <v>359</v>
      </c>
      <c r="J32" s="52">
        <v>344</v>
      </c>
      <c r="K32" s="49"/>
    </row>
    <row r="33" spans="1:11" x14ac:dyDescent="0.15">
      <c r="A33" s="50" t="s">
        <v>238</v>
      </c>
      <c r="B33" s="51">
        <v>1.6</v>
      </c>
      <c r="C33" s="51"/>
      <c r="D33" s="52">
        <v>3</v>
      </c>
      <c r="E33" s="52">
        <v>52.8</v>
      </c>
      <c r="F33" s="52">
        <v>6892</v>
      </c>
      <c r="G33" s="52" t="s">
        <v>275</v>
      </c>
      <c r="H33" s="52">
        <v>3.5</v>
      </c>
      <c r="I33" s="52">
        <v>405</v>
      </c>
      <c r="J33" s="52">
        <v>383</v>
      </c>
      <c r="K33" s="54"/>
    </row>
    <row r="34" spans="1:11" x14ac:dyDescent="0.15">
      <c r="A34" s="50" t="s">
        <v>239</v>
      </c>
      <c r="B34" s="51">
        <v>1.7</v>
      </c>
      <c r="C34" s="51"/>
      <c r="D34" s="52">
        <v>3</v>
      </c>
      <c r="E34" s="52">
        <v>58.1</v>
      </c>
      <c r="F34" s="52">
        <v>8017</v>
      </c>
      <c r="G34" s="52" t="s">
        <v>276</v>
      </c>
      <c r="H34" s="52">
        <v>3.5</v>
      </c>
      <c r="I34" s="52">
        <v>451</v>
      </c>
      <c r="J34" s="52">
        <v>422</v>
      </c>
    </row>
    <row r="35" spans="1:11" x14ac:dyDescent="0.15">
      <c r="A35" s="50" t="s">
        <v>240</v>
      </c>
      <c r="B35" s="51">
        <v>1.8</v>
      </c>
      <c r="C35" s="51"/>
      <c r="D35" s="52">
        <v>3.5</v>
      </c>
      <c r="E35" s="52">
        <v>63.4</v>
      </c>
      <c r="F35" s="52">
        <v>9142</v>
      </c>
      <c r="G35" s="52" t="s">
        <v>277</v>
      </c>
      <c r="H35" s="52">
        <v>3.5</v>
      </c>
      <c r="I35" s="52">
        <v>497</v>
      </c>
      <c r="J35" s="52">
        <v>461</v>
      </c>
    </row>
    <row r="36" spans="1:11" x14ac:dyDescent="0.15">
      <c r="A36" s="55" t="s">
        <v>353</v>
      </c>
      <c r="B36" s="56"/>
      <c r="C36" s="56"/>
      <c r="D36" s="56"/>
      <c r="E36" s="56"/>
      <c r="F36" s="56"/>
      <c r="G36" s="56"/>
      <c r="H36" s="56"/>
      <c r="I36" s="56"/>
      <c r="J36" s="57"/>
    </row>
    <row r="37" spans="1:11" x14ac:dyDescent="0.15">
      <c r="A37" s="58" t="s">
        <v>197</v>
      </c>
      <c r="B37" s="59" t="s">
        <v>198</v>
      </c>
      <c r="C37" s="59"/>
      <c r="D37" s="59" t="s">
        <v>199</v>
      </c>
      <c r="E37" s="59" t="s">
        <v>200</v>
      </c>
      <c r="F37" s="59" t="s">
        <v>241</v>
      </c>
      <c r="G37" s="60" t="s">
        <v>242</v>
      </c>
      <c r="H37" s="59" t="s">
        <v>243</v>
      </c>
      <c r="I37" s="59" t="s">
        <v>203</v>
      </c>
      <c r="J37" s="61"/>
    </row>
    <row r="38" spans="1:11" x14ac:dyDescent="0.15">
      <c r="A38" s="62"/>
      <c r="B38" s="59"/>
      <c r="C38" s="59"/>
      <c r="D38" s="61"/>
      <c r="E38" s="61"/>
      <c r="F38" s="61"/>
      <c r="G38" s="63"/>
      <c r="H38" s="61"/>
      <c r="I38" s="64" t="s">
        <v>206</v>
      </c>
      <c r="J38" s="64" t="s">
        <v>207</v>
      </c>
    </row>
    <row r="39" spans="1:11" x14ac:dyDescent="0.15">
      <c r="A39" s="65" t="s">
        <v>213</v>
      </c>
      <c r="B39" s="59" t="s">
        <v>214</v>
      </c>
      <c r="C39" s="59"/>
      <c r="D39" s="64" t="s">
        <v>214</v>
      </c>
      <c r="E39" s="64" t="s">
        <v>214</v>
      </c>
      <c r="F39" s="64" t="s">
        <v>215</v>
      </c>
      <c r="G39" s="66" t="s">
        <v>216</v>
      </c>
      <c r="H39" s="64" t="s">
        <v>244</v>
      </c>
      <c r="I39" s="64" t="s">
        <v>217</v>
      </c>
      <c r="J39" s="64" t="s">
        <v>217</v>
      </c>
    </row>
    <row r="40" spans="1:11" x14ac:dyDescent="0.15">
      <c r="A40" s="50" t="s">
        <v>278</v>
      </c>
      <c r="B40" s="51">
        <v>0.7</v>
      </c>
      <c r="C40" s="51"/>
      <c r="D40" s="67">
        <v>1.8</v>
      </c>
      <c r="E40" s="67">
        <v>17</v>
      </c>
      <c r="F40" s="67">
        <v>252</v>
      </c>
      <c r="G40" s="67" t="s">
        <v>270</v>
      </c>
      <c r="H40" s="67">
        <v>3.5</v>
      </c>
      <c r="I40" s="67">
        <v>28</v>
      </c>
      <c r="J40" s="67">
        <v>33</v>
      </c>
    </row>
    <row r="41" spans="1:11" x14ac:dyDescent="0.15">
      <c r="A41" s="50" t="s">
        <v>279</v>
      </c>
      <c r="B41" s="51">
        <v>0.7</v>
      </c>
      <c r="C41" s="51"/>
      <c r="D41" s="67">
        <v>1.8</v>
      </c>
      <c r="E41" s="67">
        <v>18.3</v>
      </c>
      <c r="F41" s="67">
        <v>359</v>
      </c>
      <c r="G41" s="67" t="s">
        <v>246</v>
      </c>
      <c r="H41" s="67">
        <v>3.5</v>
      </c>
      <c r="I41" s="67">
        <v>37</v>
      </c>
      <c r="J41" s="67">
        <v>43</v>
      </c>
    </row>
    <row r="42" spans="1:11" x14ac:dyDescent="0.15">
      <c r="A42" s="50" t="s">
        <v>280</v>
      </c>
      <c r="B42" s="51">
        <v>0.7</v>
      </c>
      <c r="C42" s="51"/>
      <c r="D42" s="67">
        <v>1.8</v>
      </c>
      <c r="E42" s="67">
        <v>19.7</v>
      </c>
      <c r="F42" s="67">
        <v>472</v>
      </c>
      <c r="G42" s="67" t="s">
        <v>248</v>
      </c>
      <c r="H42" s="67">
        <v>3.5</v>
      </c>
      <c r="I42" s="67">
        <v>47</v>
      </c>
      <c r="J42" s="67">
        <v>54</v>
      </c>
    </row>
    <row r="43" spans="1:11" x14ac:dyDescent="0.15">
      <c r="A43" s="50" t="s">
        <v>281</v>
      </c>
      <c r="B43" s="51">
        <v>0.7</v>
      </c>
      <c r="C43" s="51"/>
      <c r="D43" s="67">
        <v>1.8</v>
      </c>
      <c r="E43" s="67">
        <v>23.5</v>
      </c>
      <c r="F43" s="67">
        <v>713</v>
      </c>
      <c r="G43" s="67" t="s">
        <v>250</v>
      </c>
      <c r="H43" s="67">
        <v>3.5</v>
      </c>
      <c r="I43" s="67">
        <v>64</v>
      </c>
      <c r="J43" s="67">
        <v>71</v>
      </c>
    </row>
    <row r="44" spans="1:11" x14ac:dyDescent="0.15">
      <c r="A44" s="50" t="s">
        <v>282</v>
      </c>
      <c r="B44" s="51">
        <v>0.7</v>
      </c>
      <c r="C44" s="51"/>
      <c r="D44" s="67">
        <v>1.8</v>
      </c>
      <c r="E44" s="67">
        <v>26</v>
      </c>
      <c r="F44" s="67">
        <v>1053</v>
      </c>
      <c r="G44" s="67" t="s">
        <v>252</v>
      </c>
      <c r="H44" s="67">
        <v>3.5</v>
      </c>
      <c r="I44" s="67">
        <v>84</v>
      </c>
      <c r="J44" s="67">
        <v>92</v>
      </c>
    </row>
    <row r="45" spans="1:11" x14ac:dyDescent="0.15">
      <c r="A45" s="50" t="s">
        <v>283</v>
      </c>
      <c r="B45" s="51">
        <v>0.9</v>
      </c>
      <c r="C45" s="51"/>
      <c r="D45" s="67">
        <v>1.9</v>
      </c>
      <c r="E45" s="67">
        <v>31</v>
      </c>
      <c r="F45" s="67">
        <v>1583</v>
      </c>
      <c r="G45" s="67" t="s">
        <v>254</v>
      </c>
      <c r="H45" s="67">
        <v>3.5</v>
      </c>
      <c r="I45" s="67">
        <v>110</v>
      </c>
      <c r="J45" s="67">
        <v>118</v>
      </c>
    </row>
    <row r="46" spans="1:11" x14ac:dyDescent="0.15">
      <c r="A46" s="50" t="s">
        <v>284</v>
      </c>
      <c r="B46" s="51">
        <v>0.9</v>
      </c>
      <c r="C46" s="51"/>
      <c r="D46" s="67">
        <v>2.1</v>
      </c>
      <c r="E46" s="67">
        <v>34.299999999999997</v>
      </c>
      <c r="F46" s="67">
        <v>2134</v>
      </c>
      <c r="G46" s="67" t="s">
        <v>256</v>
      </c>
      <c r="H46" s="67">
        <v>3.5</v>
      </c>
      <c r="I46" s="67">
        <v>134</v>
      </c>
      <c r="J46" s="67">
        <v>141</v>
      </c>
    </row>
    <row r="47" spans="1:11" x14ac:dyDescent="0.15">
      <c r="A47" s="55" t="s">
        <v>354</v>
      </c>
      <c r="B47" s="56"/>
      <c r="C47" s="56"/>
      <c r="D47" s="56"/>
      <c r="E47" s="56"/>
      <c r="F47" s="56"/>
      <c r="G47" s="56"/>
      <c r="H47" s="56"/>
      <c r="I47" s="56"/>
      <c r="J47" s="57"/>
    </row>
    <row r="48" spans="1:11" ht="13.2" customHeight="1" x14ac:dyDescent="0.15">
      <c r="A48" s="58" t="s">
        <v>197</v>
      </c>
      <c r="B48" s="59" t="s">
        <v>198</v>
      </c>
      <c r="C48" s="59"/>
      <c r="D48" s="59" t="s">
        <v>199</v>
      </c>
      <c r="E48" s="59" t="s">
        <v>200</v>
      </c>
      <c r="F48" s="59" t="s">
        <v>241</v>
      </c>
      <c r="G48" s="60" t="s">
        <v>242</v>
      </c>
      <c r="H48" s="59" t="s">
        <v>243</v>
      </c>
      <c r="I48" s="59" t="s">
        <v>203</v>
      </c>
      <c r="J48" s="59"/>
    </row>
    <row r="49" spans="1:10" x14ac:dyDescent="0.15">
      <c r="A49" s="58"/>
      <c r="B49" s="59"/>
      <c r="C49" s="59"/>
      <c r="D49" s="59"/>
      <c r="E49" s="59"/>
      <c r="F49" s="59"/>
      <c r="G49" s="60"/>
      <c r="H49" s="59"/>
      <c r="I49" s="64" t="s">
        <v>206</v>
      </c>
      <c r="J49" s="64" t="s">
        <v>207</v>
      </c>
    </row>
    <row r="50" spans="1:10" x14ac:dyDescent="0.15">
      <c r="A50" s="65" t="s">
        <v>213</v>
      </c>
      <c r="B50" s="59" t="s">
        <v>214</v>
      </c>
      <c r="C50" s="59"/>
      <c r="D50" s="64" t="s">
        <v>214</v>
      </c>
      <c r="E50" s="64" t="s">
        <v>214</v>
      </c>
      <c r="F50" s="64" t="s">
        <v>215</v>
      </c>
      <c r="G50" s="66" t="s">
        <v>216</v>
      </c>
      <c r="H50" s="64" t="s">
        <v>244</v>
      </c>
      <c r="I50" s="64" t="s">
        <v>217</v>
      </c>
      <c r="J50" s="64" t="s">
        <v>217</v>
      </c>
    </row>
    <row r="51" spans="1:10" x14ac:dyDescent="0.15">
      <c r="A51" s="50" t="s">
        <v>285</v>
      </c>
      <c r="B51" s="51">
        <v>0.7</v>
      </c>
      <c r="C51" s="51"/>
      <c r="D51" s="52">
        <v>1.5</v>
      </c>
      <c r="E51" s="52">
        <v>12.5</v>
      </c>
      <c r="F51" s="52">
        <v>236</v>
      </c>
      <c r="G51" s="68" t="s">
        <v>246</v>
      </c>
      <c r="H51" s="52">
        <v>3.5</v>
      </c>
      <c r="I51" s="52">
        <v>40</v>
      </c>
      <c r="J51" s="52">
        <v>55</v>
      </c>
    </row>
    <row r="52" spans="1:10" x14ac:dyDescent="0.15">
      <c r="A52" s="50" t="s">
        <v>286</v>
      </c>
      <c r="B52" s="51">
        <v>0.7</v>
      </c>
      <c r="C52" s="51"/>
      <c r="D52" s="52">
        <v>1.5</v>
      </c>
      <c r="E52" s="52">
        <v>13.7</v>
      </c>
      <c r="F52" s="52">
        <v>316</v>
      </c>
      <c r="G52" s="68" t="s">
        <v>248</v>
      </c>
      <c r="H52" s="52">
        <v>3.5</v>
      </c>
      <c r="I52" s="52">
        <v>50</v>
      </c>
      <c r="J52" s="52">
        <v>65</v>
      </c>
    </row>
    <row r="53" spans="1:10" x14ac:dyDescent="0.15">
      <c r="A53" s="50" t="s">
        <v>287</v>
      </c>
      <c r="B53" s="51">
        <v>0.7</v>
      </c>
      <c r="C53" s="51"/>
      <c r="D53" s="52">
        <v>1.5</v>
      </c>
      <c r="E53" s="52">
        <v>15.4</v>
      </c>
      <c r="F53" s="52">
        <v>460</v>
      </c>
      <c r="G53" s="68" t="s">
        <v>250</v>
      </c>
      <c r="H53" s="52">
        <v>3.5</v>
      </c>
      <c r="I53" s="52">
        <v>70</v>
      </c>
      <c r="J53" s="52">
        <v>90</v>
      </c>
    </row>
    <row r="54" spans="1:10" x14ac:dyDescent="0.15">
      <c r="A54" s="67" t="s">
        <v>288</v>
      </c>
      <c r="B54" s="69">
        <v>0.7</v>
      </c>
      <c r="C54" s="69"/>
      <c r="D54" s="70">
        <v>1.5</v>
      </c>
      <c r="E54" s="70">
        <v>17.5</v>
      </c>
      <c r="F54" s="70">
        <v>679</v>
      </c>
      <c r="G54" s="71" t="s">
        <v>252</v>
      </c>
      <c r="H54" s="70">
        <v>3.5</v>
      </c>
      <c r="I54" s="70">
        <v>90</v>
      </c>
      <c r="J54" s="70">
        <v>110</v>
      </c>
    </row>
    <row r="55" spans="1:10" x14ac:dyDescent="0.15">
      <c r="A55" s="67" t="s">
        <v>289</v>
      </c>
      <c r="B55" s="69">
        <v>0.9</v>
      </c>
      <c r="C55" s="69"/>
      <c r="D55" s="70">
        <v>2</v>
      </c>
      <c r="E55" s="70">
        <v>21.8</v>
      </c>
      <c r="F55" s="70">
        <v>1065</v>
      </c>
      <c r="G55" s="71" t="s">
        <v>254</v>
      </c>
      <c r="H55" s="70">
        <v>3.5</v>
      </c>
      <c r="I55" s="70">
        <v>130</v>
      </c>
      <c r="J55" s="70">
        <v>150</v>
      </c>
    </row>
    <row r="56" spans="1:10" x14ac:dyDescent="0.15">
      <c r="A56" s="67" t="s">
        <v>290</v>
      </c>
      <c r="B56" s="69">
        <v>0.9</v>
      </c>
      <c r="C56" s="69"/>
      <c r="D56" s="70">
        <v>2</v>
      </c>
      <c r="E56" s="70">
        <v>23.8</v>
      </c>
      <c r="F56" s="70">
        <v>1368</v>
      </c>
      <c r="G56" s="71" t="s">
        <v>256</v>
      </c>
      <c r="H56" s="70">
        <v>3.5</v>
      </c>
      <c r="I56" s="70">
        <v>165</v>
      </c>
      <c r="J56" s="70">
        <v>185</v>
      </c>
    </row>
    <row r="57" spans="1:10" x14ac:dyDescent="0.15">
      <c r="A57" s="67" t="s">
        <v>291</v>
      </c>
      <c r="B57" s="69">
        <v>1</v>
      </c>
      <c r="C57" s="69"/>
      <c r="D57" s="70">
        <v>2</v>
      </c>
      <c r="E57" s="70">
        <v>27.4</v>
      </c>
      <c r="F57" s="70">
        <v>1901</v>
      </c>
      <c r="G57" s="71" t="s">
        <v>258</v>
      </c>
      <c r="H57" s="70">
        <v>3.5</v>
      </c>
      <c r="I57" s="70">
        <v>200</v>
      </c>
      <c r="J57" s="70">
        <v>210</v>
      </c>
    </row>
    <row r="58" spans="1:10" x14ac:dyDescent="0.15">
      <c r="A58" s="67" t="s">
        <v>292</v>
      </c>
      <c r="B58" s="69">
        <v>1.1000000000000001</v>
      </c>
      <c r="C58" s="69"/>
      <c r="D58" s="70">
        <v>2</v>
      </c>
      <c r="E58" s="70">
        <v>31</v>
      </c>
      <c r="F58" s="70">
        <v>2585</v>
      </c>
      <c r="G58" s="71" t="s">
        <v>260</v>
      </c>
      <c r="H58" s="70">
        <v>3.5</v>
      </c>
      <c r="I58" s="70">
        <v>258</v>
      </c>
      <c r="J58" s="70">
        <v>265</v>
      </c>
    </row>
    <row r="59" spans="1:10" x14ac:dyDescent="0.15">
      <c r="A59" s="67" t="s">
        <v>293</v>
      </c>
      <c r="B59" s="69">
        <v>1.1000000000000001</v>
      </c>
      <c r="C59" s="69"/>
      <c r="D59" s="70">
        <v>2.5</v>
      </c>
      <c r="E59" s="70">
        <v>34.799999999999997</v>
      </c>
      <c r="F59" s="70">
        <v>3718</v>
      </c>
      <c r="G59" s="71" t="s">
        <v>262</v>
      </c>
      <c r="H59" s="70">
        <v>3.5</v>
      </c>
      <c r="I59" s="70">
        <v>320</v>
      </c>
      <c r="J59" s="70">
        <v>315</v>
      </c>
    </row>
    <row r="60" spans="1:10" x14ac:dyDescent="0.15">
      <c r="A60" s="67" t="s">
        <v>294</v>
      </c>
      <c r="B60" s="69">
        <v>1.2</v>
      </c>
      <c r="C60" s="69"/>
      <c r="D60" s="70">
        <v>2.5</v>
      </c>
      <c r="E60" s="70">
        <v>39.700000000000003</v>
      </c>
      <c r="F60" s="70">
        <v>4443</v>
      </c>
      <c r="G60" s="71" t="s">
        <v>264</v>
      </c>
      <c r="H60" s="70">
        <v>3.5</v>
      </c>
      <c r="I60" s="70">
        <v>380</v>
      </c>
      <c r="J60" s="70">
        <v>360</v>
      </c>
    </row>
    <row r="61" spans="1:10" x14ac:dyDescent="0.15">
      <c r="A61" s="67" t="s">
        <v>295</v>
      </c>
      <c r="B61" s="69">
        <v>1.4</v>
      </c>
      <c r="C61" s="69"/>
      <c r="D61" s="70">
        <v>2.5</v>
      </c>
      <c r="E61" s="70">
        <v>42.9</v>
      </c>
      <c r="F61" s="70">
        <v>5326</v>
      </c>
      <c r="G61" s="71" t="s">
        <v>266</v>
      </c>
      <c r="H61" s="70">
        <v>3.5</v>
      </c>
      <c r="I61" s="70">
        <v>440</v>
      </c>
      <c r="J61" s="70">
        <v>400</v>
      </c>
    </row>
    <row r="62" spans="1:10" x14ac:dyDescent="0.15">
      <c r="A62" s="67" t="s">
        <v>296</v>
      </c>
      <c r="B62" s="69">
        <v>1.6</v>
      </c>
      <c r="C62" s="69"/>
      <c r="D62" s="70">
        <v>3</v>
      </c>
      <c r="E62" s="70">
        <v>47.4</v>
      </c>
      <c r="F62" s="70">
        <v>6628</v>
      </c>
      <c r="G62" s="71" t="s">
        <v>275</v>
      </c>
      <c r="H62" s="70">
        <v>3.5</v>
      </c>
      <c r="I62" s="70">
        <v>505</v>
      </c>
      <c r="J62" s="70">
        <v>435</v>
      </c>
    </row>
    <row r="63" spans="1:10" x14ac:dyDescent="0.15">
      <c r="A63" s="67" t="s">
        <v>297</v>
      </c>
      <c r="B63" s="69">
        <v>1.7</v>
      </c>
      <c r="C63" s="69"/>
      <c r="D63" s="70">
        <v>3</v>
      </c>
      <c r="E63" s="70">
        <v>52.7</v>
      </c>
      <c r="F63" s="70">
        <v>8501</v>
      </c>
      <c r="G63" s="71" t="s">
        <v>276</v>
      </c>
      <c r="H63" s="70">
        <v>3.5</v>
      </c>
      <c r="I63" s="70">
        <v>603</v>
      </c>
      <c r="J63" s="70">
        <v>524</v>
      </c>
    </row>
    <row r="64" spans="1:10" x14ac:dyDescent="0.15">
      <c r="A64" s="67" t="s">
        <v>298</v>
      </c>
      <c r="B64" s="69">
        <v>1.8</v>
      </c>
      <c r="C64" s="69"/>
      <c r="D64" s="70">
        <v>3.5</v>
      </c>
      <c r="E64" s="70">
        <v>58</v>
      </c>
      <c r="F64" s="70">
        <v>10320</v>
      </c>
      <c r="G64" s="71" t="s">
        <v>277</v>
      </c>
      <c r="H64" s="70">
        <v>3.5</v>
      </c>
      <c r="I64" s="70">
        <v>700</v>
      </c>
      <c r="J64" s="70">
        <v>605</v>
      </c>
    </row>
    <row r="65" spans="1:15" x14ac:dyDescent="0.15">
      <c r="A65" s="55" t="s">
        <v>355</v>
      </c>
      <c r="B65" s="56"/>
      <c r="C65" s="56"/>
      <c r="D65" s="56"/>
      <c r="E65" s="56"/>
      <c r="F65" s="56"/>
      <c r="G65" s="56"/>
      <c r="H65" s="56"/>
      <c r="I65" s="56"/>
      <c r="J65" s="57"/>
    </row>
    <row r="66" spans="1:15" ht="24" x14ac:dyDescent="0.15">
      <c r="A66" s="65" t="s">
        <v>197</v>
      </c>
      <c r="B66" s="59" t="s">
        <v>198</v>
      </c>
      <c r="C66" s="61"/>
      <c r="D66" s="64" t="s">
        <v>199</v>
      </c>
      <c r="E66" s="64" t="s">
        <v>200</v>
      </c>
      <c r="F66" s="64" t="s">
        <v>241</v>
      </c>
      <c r="G66" s="66" t="s">
        <v>242</v>
      </c>
      <c r="H66" s="64" t="s">
        <v>243</v>
      </c>
      <c r="I66" s="59" t="s">
        <v>203</v>
      </c>
      <c r="J66" s="61"/>
    </row>
    <row r="67" spans="1:15" x14ac:dyDescent="0.15">
      <c r="A67" s="58" t="s">
        <v>213</v>
      </c>
      <c r="B67" s="64" t="s">
        <v>299</v>
      </c>
      <c r="C67" s="64" t="s">
        <v>348</v>
      </c>
      <c r="D67" s="59" t="s">
        <v>214</v>
      </c>
      <c r="E67" s="59" t="s">
        <v>214</v>
      </c>
      <c r="F67" s="59" t="s">
        <v>215</v>
      </c>
      <c r="G67" s="60" t="s">
        <v>216</v>
      </c>
      <c r="H67" s="59" t="s">
        <v>244</v>
      </c>
      <c r="I67" s="64" t="s">
        <v>206</v>
      </c>
      <c r="J67" s="64" t="s">
        <v>207</v>
      </c>
    </row>
    <row r="68" spans="1:15" x14ac:dyDescent="0.15">
      <c r="A68" s="62"/>
      <c r="B68" s="64" t="s">
        <v>214</v>
      </c>
      <c r="C68" s="64" t="s">
        <v>214</v>
      </c>
      <c r="D68" s="61"/>
      <c r="E68" s="61"/>
      <c r="F68" s="61"/>
      <c r="G68" s="63"/>
      <c r="H68" s="61"/>
      <c r="I68" s="64" t="s">
        <v>217</v>
      </c>
      <c r="J68" s="64" t="s">
        <v>217</v>
      </c>
    </row>
    <row r="69" spans="1:15" x14ac:dyDescent="0.15">
      <c r="A69" s="52" t="s">
        <v>300</v>
      </c>
      <c r="B69" s="52">
        <v>1</v>
      </c>
      <c r="C69" s="52">
        <v>0.9</v>
      </c>
      <c r="D69" s="52">
        <v>2</v>
      </c>
      <c r="E69" s="52">
        <v>32.700000000000003</v>
      </c>
      <c r="F69" s="52">
        <v>2876</v>
      </c>
      <c r="G69" s="52" t="s">
        <v>258</v>
      </c>
      <c r="H69" s="52">
        <v>3.5</v>
      </c>
      <c r="I69" s="52">
        <v>161</v>
      </c>
      <c r="J69" s="52">
        <v>167</v>
      </c>
      <c r="K69" s="49"/>
      <c r="L69" s="72"/>
      <c r="M69" s="72"/>
      <c r="N69" s="72"/>
      <c r="O69" s="73"/>
    </row>
    <row r="70" spans="1:15" x14ac:dyDescent="0.15">
      <c r="A70" s="52" t="s">
        <v>301</v>
      </c>
      <c r="B70" s="52">
        <v>1.1000000000000001</v>
      </c>
      <c r="C70" s="52">
        <v>0.9</v>
      </c>
      <c r="D70" s="52">
        <v>2.2000000000000002</v>
      </c>
      <c r="E70" s="52">
        <v>38.299999999999997</v>
      </c>
      <c r="F70" s="52">
        <v>4150</v>
      </c>
      <c r="G70" s="52" t="s">
        <v>260</v>
      </c>
      <c r="H70" s="52">
        <v>3.5</v>
      </c>
      <c r="I70" s="52">
        <v>197</v>
      </c>
      <c r="J70" s="52">
        <v>203</v>
      </c>
      <c r="K70" s="49"/>
      <c r="L70" s="72"/>
      <c r="M70" s="72"/>
      <c r="N70" s="72"/>
      <c r="O70" s="73"/>
    </row>
    <row r="71" spans="1:15" x14ac:dyDescent="0.15">
      <c r="A71" s="52" t="s">
        <v>302</v>
      </c>
      <c r="B71" s="52">
        <v>1.1000000000000001</v>
      </c>
      <c r="C71" s="52">
        <v>1</v>
      </c>
      <c r="D71" s="52">
        <v>2.2999999999999998</v>
      </c>
      <c r="E71" s="52">
        <v>42.6</v>
      </c>
      <c r="F71" s="52">
        <v>5345</v>
      </c>
      <c r="G71" s="52" t="s">
        <v>262</v>
      </c>
      <c r="H71" s="52">
        <v>3.5</v>
      </c>
      <c r="I71" s="52">
        <v>239</v>
      </c>
      <c r="J71" s="52">
        <v>242</v>
      </c>
      <c r="K71" s="49"/>
      <c r="L71" s="72"/>
      <c r="M71" s="72"/>
      <c r="N71" s="72"/>
      <c r="O71" s="73"/>
    </row>
    <row r="72" spans="1:15" x14ac:dyDescent="0.15">
      <c r="A72" s="52" t="s">
        <v>303</v>
      </c>
      <c r="B72" s="52">
        <v>1.2</v>
      </c>
      <c r="C72" s="52">
        <v>1.1000000000000001</v>
      </c>
      <c r="D72" s="52">
        <v>2.5</v>
      </c>
      <c r="E72" s="52">
        <v>47.2</v>
      </c>
      <c r="F72" s="52">
        <v>6696</v>
      </c>
      <c r="G72" s="52" t="s">
        <v>264</v>
      </c>
      <c r="H72" s="52">
        <v>3.5</v>
      </c>
      <c r="I72" s="52">
        <v>275</v>
      </c>
      <c r="J72" s="52">
        <v>274</v>
      </c>
      <c r="K72" s="49"/>
      <c r="L72" s="72"/>
      <c r="M72" s="72"/>
      <c r="N72" s="72"/>
      <c r="O72" s="73"/>
    </row>
    <row r="73" spans="1:15" x14ac:dyDescent="0.15">
      <c r="A73" s="52" t="s">
        <v>304</v>
      </c>
      <c r="B73" s="52">
        <v>1.4</v>
      </c>
      <c r="C73" s="52">
        <v>1.1000000000000001</v>
      </c>
      <c r="D73" s="52">
        <v>2.6</v>
      </c>
      <c r="E73" s="52">
        <v>50.5</v>
      </c>
      <c r="F73" s="52">
        <v>7746</v>
      </c>
      <c r="G73" s="52" t="s">
        <v>266</v>
      </c>
      <c r="H73" s="52">
        <v>3.5</v>
      </c>
      <c r="I73" s="52">
        <v>314</v>
      </c>
      <c r="J73" s="52">
        <v>305</v>
      </c>
      <c r="K73" s="49"/>
      <c r="L73" s="72"/>
      <c r="M73" s="72"/>
      <c r="N73" s="72"/>
      <c r="O73" s="73"/>
    </row>
    <row r="74" spans="1:15" x14ac:dyDescent="0.15">
      <c r="A74" s="52" t="s">
        <v>305</v>
      </c>
      <c r="B74" s="52">
        <v>1.6</v>
      </c>
      <c r="C74" s="52">
        <v>1.1000000000000001</v>
      </c>
      <c r="D74" s="52">
        <v>2.7</v>
      </c>
      <c r="E74" s="52">
        <v>55.3</v>
      </c>
      <c r="F74" s="52">
        <v>9499</v>
      </c>
      <c r="G74" s="52" t="s">
        <v>275</v>
      </c>
      <c r="H74" s="52">
        <v>3.5</v>
      </c>
      <c r="I74" s="52">
        <v>354</v>
      </c>
      <c r="J74" s="52">
        <v>341</v>
      </c>
      <c r="K74" s="49"/>
      <c r="L74" s="72"/>
      <c r="M74" s="72"/>
      <c r="N74" s="72"/>
      <c r="O74" s="73"/>
    </row>
    <row r="75" spans="1:15" x14ac:dyDescent="0.15">
      <c r="A75" s="52" t="s">
        <v>306</v>
      </c>
      <c r="B75" s="52">
        <v>1.7</v>
      </c>
      <c r="C75" s="52">
        <v>1.2</v>
      </c>
      <c r="D75" s="52">
        <v>2.9</v>
      </c>
      <c r="E75" s="52">
        <v>61.2</v>
      </c>
      <c r="F75" s="52">
        <v>11878</v>
      </c>
      <c r="G75" s="52" t="s">
        <v>276</v>
      </c>
      <c r="H75" s="52">
        <v>3.5</v>
      </c>
      <c r="I75" s="52">
        <v>414</v>
      </c>
      <c r="J75" s="52">
        <v>392</v>
      </c>
      <c r="K75" s="49"/>
      <c r="L75" s="72"/>
      <c r="M75" s="72"/>
      <c r="N75" s="72"/>
      <c r="O75" s="73"/>
    </row>
    <row r="76" spans="1:15" x14ac:dyDescent="0.15">
      <c r="A76" s="55" t="s">
        <v>356</v>
      </c>
      <c r="B76" s="56"/>
      <c r="C76" s="56"/>
      <c r="D76" s="56"/>
      <c r="E76" s="56"/>
      <c r="F76" s="56"/>
      <c r="G76" s="56"/>
      <c r="H76" s="56"/>
      <c r="I76" s="56"/>
      <c r="J76" s="57"/>
    </row>
    <row r="77" spans="1:15" ht="24" x14ac:dyDescent="0.15">
      <c r="A77" s="65" t="s">
        <v>197</v>
      </c>
      <c r="B77" s="59" t="s">
        <v>198</v>
      </c>
      <c r="C77" s="61"/>
      <c r="D77" s="64" t="s">
        <v>199</v>
      </c>
      <c r="E77" s="64" t="s">
        <v>200</v>
      </c>
      <c r="F77" s="64" t="s">
        <v>241</v>
      </c>
      <c r="G77" s="66" t="s">
        <v>242</v>
      </c>
      <c r="H77" s="64" t="s">
        <v>243</v>
      </c>
      <c r="I77" s="59" t="s">
        <v>203</v>
      </c>
      <c r="J77" s="61"/>
    </row>
    <row r="78" spans="1:15" x14ac:dyDescent="0.15">
      <c r="A78" s="58" t="s">
        <v>213</v>
      </c>
      <c r="B78" s="64" t="s">
        <v>299</v>
      </c>
      <c r="C78" s="64" t="s">
        <v>348</v>
      </c>
      <c r="D78" s="59" t="s">
        <v>214</v>
      </c>
      <c r="E78" s="59" t="s">
        <v>214</v>
      </c>
      <c r="F78" s="59" t="s">
        <v>215</v>
      </c>
      <c r="G78" s="60" t="s">
        <v>216</v>
      </c>
      <c r="H78" s="59" t="s">
        <v>244</v>
      </c>
      <c r="I78" s="64" t="s">
        <v>206</v>
      </c>
      <c r="J78" s="64" t="s">
        <v>207</v>
      </c>
    </row>
    <row r="79" spans="1:15" x14ac:dyDescent="0.15">
      <c r="A79" s="62"/>
      <c r="B79" s="64" t="s">
        <v>214</v>
      </c>
      <c r="C79" s="64" t="s">
        <v>214</v>
      </c>
      <c r="D79" s="61"/>
      <c r="E79" s="61"/>
      <c r="F79" s="61"/>
      <c r="G79" s="63"/>
      <c r="H79" s="61"/>
      <c r="I79" s="64" t="s">
        <v>217</v>
      </c>
      <c r="J79" s="64" t="s">
        <v>217</v>
      </c>
    </row>
    <row r="80" spans="1:15" x14ac:dyDescent="0.15">
      <c r="A80" s="67" t="s">
        <v>307</v>
      </c>
      <c r="B80" s="70">
        <v>1</v>
      </c>
      <c r="C80" s="70">
        <v>0.9</v>
      </c>
      <c r="D80" s="71">
        <v>1.8</v>
      </c>
      <c r="E80" s="70">
        <v>28.2</v>
      </c>
      <c r="F80" s="67">
        <v>2268</v>
      </c>
      <c r="G80" s="67" t="s">
        <v>258</v>
      </c>
      <c r="H80" s="67">
        <v>3.5</v>
      </c>
      <c r="I80" s="67">
        <v>159</v>
      </c>
      <c r="J80" s="67">
        <v>169</v>
      </c>
    </row>
    <row r="81" spans="1:10" x14ac:dyDescent="0.15">
      <c r="A81" s="67" t="s">
        <v>308</v>
      </c>
      <c r="B81" s="70">
        <v>1.1000000000000001</v>
      </c>
      <c r="C81" s="70" t="s">
        <v>350</v>
      </c>
      <c r="D81" s="71">
        <v>2</v>
      </c>
      <c r="E81" s="70">
        <v>32.799999999999997</v>
      </c>
      <c r="F81" s="67">
        <v>3116</v>
      </c>
      <c r="G81" s="67" t="s">
        <v>260</v>
      </c>
      <c r="H81" s="67">
        <v>3.5</v>
      </c>
      <c r="I81" s="67">
        <v>195</v>
      </c>
      <c r="J81" s="67">
        <v>205</v>
      </c>
    </row>
    <row r="82" spans="1:10" x14ac:dyDescent="0.15">
      <c r="A82" s="67" t="s">
        <v>309</v>
      </c>
      <c r="B82" s="70">
        <v>1.1000000000000001</v>
      </c>
      <c r="C82" s="70"/>
      <c r="D82" s="71">
        <v>2.1</v>
      </c>
      <c r="E82" s="70">
        <v>37</v>
      </c>
      <c r="F82" s="67">
        <v>4176</v>
      </c>
      <c r="G82" s="67" t="s">
        <v>262</v>
      </c>
      <c r="H82" s="67">
        <v>3.5</v>
      </c>
      <c r="I82" s="67">
        <v>237</v>
      </c>
      <c r="J82" s="67">
        <v>245</v>
      </c>
    </row>
    <row r="83" spans="1:10" x14ac:dyDescent="0.15">
      <c r="A83" s="67" t="s">
        <v>310</v>
      </c>
      <c r="B83" s="70">
        <v>1.2</v>
      </c>
      <c r="C83" s="70">
        <v>1.1000000000000001</v>
      </c>
      <c r="D83" s="71">
        <v>2.2999999999999998</v>
      </c>
      <c r="E83" s="70">
        <v>41.4</v>
      </c>
      <c r="F83" s="67">
        <v>5375</v>
      </c>
      <c r="G83" s="67" t="s">
        <v>264</v>
      </c>
      <c r="H83" s="67">
        <v>3.5</v>
      </c>
      <c r="I83" s="67">
        <v>273</v>
      </c>
      <c r="J83" s="67">
        <v>278</v>
      </c>
    </row>
    <row r="84" spans="1:10" x14ac:dyDescent="0.15">
      <c r="A84" s="67" t="s">
        <v>311</v>
      </c>
      <c r="B84" s="70">
        <v>1.4</v>
      </c>
      <c r="C84" s="70">
        <v>1.1000000000000001</v>
      </c>
      <c r="D84" s="71">
        <v>2.4</v>
      </c>
      <c r="E84" s="70">
        <v>44.5</v>
      </c>
      <c r="F84" s="67">
        <v>6305</v>
      </c>
      <c r="G84" s="67" t="s">
        <v>266</v>
      </c>
      <c r="H84" s="67">
        <v>3.5</v>
      </c>
      <c r="I84" s="67">
        <v>310</v>
      </c>
      <c r="J84" s="67">
        <v>309</v>
      </c>
    </row>
    <row r="85" spans="1:10" x14ac:dyDescent="0.15">
      <c r="A85" s="67" t="s">
        <v>312</v>
      </c>
      <c r="B85" s="70">
        <v>1.6</v>
      </c>
      <c r="C85" s="70">
        <v>1.1000000000000001</v>
      </c>
      <c r="D85" s="71">
        <v>2.5</v>
      </c>
      <c r="E85" s="70">
        <v>49.2</v>
      </c>
      <c r="F85" s="67">
        <v>7889</v>
      </c>
      <c r="G85" s="67" t="s">
        <v>275</v>
      </c>
      <c r="H85" s="67">
        <v>3.5</v>
      </c>
      <c r="I85" s="67">
        <v>355</v>
      </c>
      <c r="J85" s="67">
        <v>347</v>
      </c>
    </row>
    <row r="86" spans="1:10" x14ac:dyDescent="0.15">
      <c r="A86" s="67" t="s">
        <v>313</v>
      </c>
      <c r="B86" s="70">
        <v>1.7</v>
      </c>
      <c r="C86" s="70">
        <v>1.2</v>
      </c>
      <c r="D86" s="71">
        <v>2.7</v>
      </c>
      <c r="E86" s="70">
        <v>54.7</v>
      </c>
      <c r="F86" s="67">
        <v>10051</v>
      </c>
      <c r="G86" s="67" t="s">
        <v>276</v>
      </c>
      <c r="H86" s="67">
        <v>3.5</v>
      </c>
      <c r="I86" s="67">
        <v>416</v>
      </c>
      <c r="J86" s="67">
        <v>398</v>
      </c>
    </row>
  </sheetData>
  <mergeCells count="106">
    <mergeCell ref="A76:J76"/>
    <mergeCell ref="B77:C77"/>
    <mergeCell ref="I77:J77"/>
    <mergeCell ref="A78:A79"/>
    <mergeCell ref="D78:D79"/>
    <mergeCell ref="E78:E79"/>
    <mergeCell ref="F78:F79"/>
    <mergeCell ref="G78:G79"/>
    <mergeCell ref="H78:H79"/>
    <mergeCell ref="A65:J65"/>
    <mergeCell ref="B66:C66"/>
    <mergeCell ref="I66:J66"/>
    <mergeCell ref="A67:A68"/>
    <mergeCell ref="D67:D68"/>
    <mergeCell ref="E67:E68"/>
    <mergeCell ref="F67:F68"/>
    <mergeCell ref="G67:G68"/>
    <mergeCell ref="H67:H68"/>
    <mergeCell ref="B59:C59"/>
    <mergeCell ref="B60:C60"/>
    <mergeCell ref="B61:C61"/>
    <mergeCell ref="B62:C62"/>
    <mergeCell ref="B63:C63"/>
    <mergeCell ref="B64:C64"/>
    <mergeCell ref="B53:C53"/>
    <mergeCell ref="B54:C54"/>
    <mergeCell ref="B55:C55"/>
    <mergeCell ref="B56:C56"/>
    <mergeCell ref="B57:C57"/>
    <mergeCell ref="B58:C58"/>
    <mergeCell ref="G48:G49"/>
    <mergeCell ref="H48:H49"/>
    <mergeCell ref="I48:J48"/>
    <mergeCell ref="B50:C50"/>
    <mergeCell ref="B51:C51"/>
    <mergeCell ref="B52:C52"/>
    <mergeCell ref="B43:C43"/>
    <mergeCell ref="B44:C44"/>
    <mergeCell ref="B45:C45"/>
    <mergeCell ref="B46:C46"/>
    <mergeCell ref="A47:J47"/>
    <mergeCell ref="A48:A49"/>
    <mergeCell ref="B48:C49"/>
    <mergeCell ref="D48:D49"/>
    <mergeCell ref="E48:E49"/>
    <mergeCell ref="F48:F49"/>
    <mergeCell ref="H37:H38"/>
    <mergeCell ref="I37:J37"/>
    <mergeCell ref="B39:C39"/>
    <mergeCell ref="B40:C40"/>
    <mergeCell ref="B41:C41"/>
    <mergeCell ref="B42:C42"/>
    <mergeCell ref="A37:A38"/>
    <mergeCell ref="B37:C38"/>
    <mergeCell ref="D37:D38"/>
    <mergeCell ref="E37:E38"/>
    <mergeCell ref="F37:F38"/>
    <mergeCell ref="G37:G38"/>
    <mergeCell ref="B31:C31"/>
    <mergeCell ref="B32:C32"/>
    <mergeCell ref="B33:C33"/>
    <mergeCell ref="B34:C34"/>
    <mergeCell ref="B35:C35"/>
    <mergeCell ref="A36:J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A16:J16"/>
    <mergeCell ref="A17:A18"/>
    <mergeCell ref="B17:C18"/>
    <mergeCell ref="D17:D18"/>
    <mergeCell ref="E17:E18"/>
    <mergeCell ref="F17:F18"/>
    <mergeCell ref="G17:G18"/>
    <mergeCell ref="H17:H18"/>
    <mergeCell ref="I17:J17"/>
    <mergeCell ref="B10:C10"/>
    <mergeCell ref="B11:C11"/>
    <mergeCell ref="B12:C12"/>
    <mergeCell ref="B13:C13"/>
    <mergeCell ref="B14:C14"/>
    <mergeCell ref="B15:C15"/>
    <mergeCell ref="B4:C4"/>
    <mergeCell ref="B5:C5"/>
    <mergeCell ref="B6:C6"/>
    <mergeCell ref="B7:C7"/>
    <mergeCell ref="B8:C8"/>
    <mergeCell ref="B9:C9"/>
    <mergeCell ref="A1:J1"/>
    <mergeCell ref="A2:A3"/>
    <mergeCell ref="B2:C3"/>
    <mergeCell ref="D2:D3"/>
    <mergeCell ref="E2:E3"/>
    <mergeCell ref="F2:F3"/>
    <mergeCell ref="G2:G3"/>
    <mergeCell ref="H2:H3"/>
    <mergeCell ref="I2:J2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FFA6-92FC-4CE1-A281-9FD85B3080C9}">
  <sheetPr codeName="Sheet8"/>
  <dimension ref="A1:K31"/>
  <sheetViews>
    <sheetView workbookViewId="0">
      <selection activeCell="I27" sqref="I27"/>
    </sheetView>
  </sheetViews>
  <sheetFormatPr defaultRowHeight="12" x14ac:dyDescent="0.15"/>
  <cols>
    <col min="1" max="16384" width="8.88671875" style="76"/>
  </cols>
  <sheetData>
    <row r="1" spans="1:11" x14ac:dyDescent="0.15">
      <c r="A1" s="55" t="s">
        <v>357</v>
      </c>
      <c r="B1" s="56"/>
      <c r="C1" s="56"/>
      <c r="D1" s="56"/>
      <c r="E1" s="56"/>
      <c r="F1" s="56"/>
      <c r="G1" s="56"/>
      <c r="H1" s="56"/>
      <c r="I1" s="56"/>
      <c r="J1" s="56"/>
      <c r="K1" s="57"/>
    </row>
    <row r="2" spans="1:11" x14ac:dyDescent="0.15">
      <c r="A2" s="58" t="s">
        <v>197</v>
      </c>
      <c r="B2" s="58" t="s">
        <v>198</v>
      </c>
      <c r="C2" s="58" t="s">
        <v>199</v>
      </c>
      <c r="D2" s="58" t="s">
        <v>200</v>
      </c>
      <c r="E2" s="58" t="s">
        <v>201</v>
      </c>
      <c r="F2" s="65" t="s">
        <v>202</v>
      </c>
      <c r="G2" s="58" t="s">
        <v>203</v>
      </c>
      <c r="H2" s="62"/>
      <c r="I2" s="58" t="s">
        <v>204</v>
      </c>
      <c r="J2" s="62"/>
      <c r="K2" s="62"/>
    </row>
    <row r="3" spans="1:11" x14ac:dyDescent="0.15">
      <c r="A3" s="62"/>
      <c r="B3" s="62"/>
      <c r="C3" s="62"/>
      <c r="D3" s="62"/>
      <c r="E3" s="62"/>
      <c r="F3" s="65" t="s">
        <v>205</v>
      </c>
      <c r="G3" s="58" t="s">
        <v>206</v>
      </c>
      <c r="H3" s="58" t="s">
        <v>207</v>
      </c>
      <c r="I3" s="58" t="s">
        <v>208</v>
      </c>
      <c r="J3" s="58" t="s">
        <v>209</v>
      </c>
      <c r="K3" s="62"/>
    </row>
    <row r="4" spans="1:11" x14ac:dyDescent="0.15">
      <c r="A4" s="62"/>
      <c r="B4" s="62"/>
      <c r="C4" s="62"/>
      <c r="D4" s="62"/>
      <c r="E4" s="62"/>
      <c r="F4" s="65" t="s">
        <v>210</v>
      </c>
      <c r="G4" s="62"/>
      <c r="H4" s="62"/>
      <c r="I4" s="62"/>
      <c r="J4" s="65" t="s">
        <v>211</v>
      </c>
      <c r="K4" s="65" t="s">
        <v>212</v>
      </c>
    </row>
    <row r="5" spans="1:11" x14ac:dyDescent="0.15">
      <c r="A5" s="65" t="s">
        <v>213</v>
      </c>
      <c r="B5" s="65" t="s">
        <v>214</v>
      </c>
      <c r="C5" s="65" t="s">
        <v>214</v>
      </c>
      <c r="D5" s="65" t="s">
        <v>214</v>
      </c>
      <c r="E5" s="65" t="s">
        <v>215</v>
      </c>
      <c r="F5" s="65" t="s">
        <v>216</v>
      </c>
      <c r="G5" s="65" t="s">
        <v>217</v>
      </c>
      <c r="H5" s="65" t="s">
        <v>217</v>
      </c>
      <c r="I5" s="65" t="s">
        <v>218</v>
      </c>
      <c r="J5" s="65" t="s">
        <v>218</v>
      </c>
      <c r="K5" s="65" t="s">
        <v>218</v>
      </c>
    </row>
    <row r="6" spans="1:11" x14ac:dyDescent="0.15">
      <c r="A6" s="67" t="s">
        <v>219</v>
      </c>
      <c r="B6" s="67">
        <v>3.4</v>
      </c>
      <c r="C6" s="67">
        <v>1.8</v>
      </c>
      <c r="D6" s="67">
        <v>21</v>
      </c>
      <c r="E6" s="67">
        <v>685</v>
      </c>
      <c r="F6" s="67">
        <v>0.72699999999999998</v>
      </c>
      <c r="G6" s="67">
        <v>165</v>
      </c>
      <c r="H6" s="67">
        <v>160</v>
      </c>
      <c r="I6" s="67">
        <v>3.69</v>
      </c>
      <c r="J6" s="67">
        <v>1.083</v>
      </c>
      <c r="K6" s="67">
        <v>3.5059999999999998</v>
      </c>
    </row>
    <row r="7" spans="1:11" x14ac:dyDescent="0.15">
      <c r="A7" s="67" t="s">
        <v>220</v>
      </c>
      <c r="B7" s="67">
        <v>3.4</v>
      </c>
      <c r="C7" s="67">
        <v>1.8</v>
      </c>
      <c r="D7" s="67">
        <v>22</v>
      </c>
      <c r="E7" s="67">
        <v>807</v>
      </c>
      <c r="F7" s="67">
        <v>0.52400000000000002</v>
      </c>
      <c r="G7" s="67">
        <v>205</v>
      </c>
      <c r="H7" s="67">
        <v>190</v>
      </c>
      <c r="I7" s="67">
        <v>5.15</v>
      </c>
      <c r="J7" s="67">
        <v>1.0820000000000001</v>
      </c>
      <c r="K7" s="67">
        <v>3.5009999999999999</v>
      </c>
    </row>
    <row r="8" spans="1:11" x14ac:dyDescent="0.15">
      <c r="A8" s="67" t="s">
        <v>221</v>
      </c>
      <c r="B8" s="67">
        <v>3.4</v>
      </c>
      <c r="C8" s="67">
        <v>1.8</v>
      </c>
      <c r="D8" s="67">
        <v>23</v>
      </c>
      <c r="E8" s="67">
        <v>977</v>
      </c>
      <c r="F8" s="67">
        <v>0.38700000000000001</v>
      </c>
      <c r="G8" s="67">
        <v>245</v>
      </c>
      <c r="H8" s="67">
        <v>225</v>
      </c>
      <c r="I8" s="67">
        <v>7.31</v>
      </c>
      <c r="J8" s="67">
        <v>1.079</v>
      </c>
      <c r="K8" s="67">
        <v>3.496</v>
      </c>
    </row>
    <row r="9" spans="1:11" x14ac:dyDescent="0.15">
      <c r="A9" s="50" t="s">
        <v>222</v>
      </c>
      <c r="B9" s="77">
        <v>3.4</v>
      </c>
      <c r="C9" s="77">
        <v>1.8</v>
      </c>
      <c r="D9" s="77">
        <v>25</v>
      </c>
      <c r="E9" s="77">
        <v>1207</v>
      </c>
      <c r="F9" s="77">
        <v>0.26800000000000002</v>
      </c>
      <c r="G9" s="77">
        <v>305</v>
      </c>
      <c r="H9" s="77">
        <v>275</v>
      </c>
      <c r="I9" s="77">
        <v>10.199999999999999</v>
      </c>
      <c r="J9" s="77">
        <v>1.077</v>
      </c>
      <c r="K9" s="77">
        <v>3.4910000000000001</v>
      </c>
    </row>
    <row r="10" spans="1:11" x14ac:dyDescent="0.15">
      <c r="A10" s="50" t="s">
        <v>223</v>
      </c>
      <c r="B10" s="77">
        <v>3.4</v>
      </c>
      <c r="C10" s="77">
        <v>1.8</v>
      </c>
      <c r="D10" s="77">
        <v>27</v>
      </c>
      <c r="E10" s="77">
        <v>1489</v>
      </c>
      <c r="F10" s="77">
        <v>0.193</v>
      </c>
      <c r="G10" s="77">
        <v>370</v>
      </c>
      <c r="H10" s="77">
        <v>330</v>
      </c>
      <c r="I10" s="77">
        <v>13.8</v>
      </c>
      <c r="J10" s="77">
        <v>1.077</v>
      </c>
      <c r="K10" s="77">
        <v>5.4489999999999998</v>
      </c>
    </row>
    <row r="11" spans="1:11" x14ac:dyDescent="0.15">
      <c r="A11" s="50" t="s">
        <v>224</v>
      </c>
      <c r="B11" s="77">
        <v>3.4</v>
      </c>
      <c r="C11" s="77">
        <v>1.8</v>
      </c>
      <c r="D11" s="77">
        <v>28</v>
      </c>
      <c r="E11" s="77">
        <v>1762</v>
      </c>
      <c r="F11" s="77">
        <v>0.153</v>
      </c>
      <c r="G11" s="77">
        <v>430</v>
      </c>
      <c r="H11" s="77">
        <v>375</v>
      </c>
      <c r="I11" s="77">
        <v>17.399999999999999</v>
      </c>
      <c r="J11" s="77">
        <v>1.077</v>
      </c>
      <c r="K11" s="77">
        <v>5.4489999999999998</v>
      </c>
    </row>
    <row r="12" spans="1:11" x14ac:dyDescent="0.15">
      <c r="A12" s="50" t="s">
        <v>225</v>
      </c>
      <c r="B12" s="77">
        <v>3.4</v>
      </c>
      <c r="C12" s="77">
        <v>1.9</v>
      </c>
      <c r="D12" s="77">
        <v>30</v>
      </c>
      <c r="E12" s="77">
        <v>2080</v>
      </c>
      <c r="F12" s="77">
        <v>0.124</v>
      </c>
      <c r="G12" s="77">
        <v>490</v>
      </c>
      <c r="H12" s="77">
        <v>426</v>
      </c>
      <c r="I12" s="77">
        <v>21.7</v>
      </c>
      <c r="J12" s="77">
        <v>1.0760000000000001</v>
      </c>
      <c r="K12" s="77">
        <v>5.44</v>
      </c>
    </row>
    <row r="13" spans="1:11" x14ac:dyDescent="0.15">
      <c r="A13" s="50" t="s">
        <v>226</v>
      </c>
      <c r="B13" s="77">
        <v>3.4</v>
      </c>
      <c r="C13" s="77">
        <v>2</v>
      </c>
      <c r="D13" s="77">
        <v>32</v>
      </c>
      <c r="E13" s="77">
        <v>2453</v>
      </c>
      <c r="F13" s="77">
        <v>9.9099999999999994E-2</v>
      </c>
      <c r="G13" s="77">
        <v>560</v>
      </c>
      <c r="H13" s="77">
        <v>480</v>
      </c>
      <c r="I13" s="77">
        <v>26.7</v>
      </c>
      <c r="J13" s="77">
        <v>1.2509999999999999</v>
      </c>
      <c r="K13" s="77">
        <v>7.59</v>
      </c>
    </row>
    <row r="14" spans="1:11" x14ac:dyDescent="0.15">
      <c r="A14" s="50" t="s">
        <v>227</v>
      </c>
      <c r="B14" s="77">
        <v>3.4</v>
      </c>
      <c r="C14" s="77">
        <v>2.1</v>
      </c>
      <c r="D14" s="77">
        <v>34</v>
      </c>
      <c r="E14" s="77">
        <v>3100</v>
      </c>
      <c r="F14" s="77">
        <v>7.5399999999999995E-2</v>
      </c>
      <c r="G14" s="77">
        <v>665</v>
      </c>
      <c r="H14" s="77">
        <v>555</v>
      </c>
      <c r="I14" s="77">
        <v>34.6</v>
      </c>
      <c r="J14" s="77">
        <v>1.25</v>
      </c>
      <c r="K14" s="77">
        <v>7.5830000000000002</v>
      </c>
    </row>
    <row r="15" spans="1:11" x14ac:dyDescent="0.15">
      <c r="A15" s="50" t="s">
        <v>228</v>
      </c>
      <c r="B15" s="77">
        <v>3.4</v>
      </c>
      <c r="C15" s="77">
        <v>2.2000000000000002</v>
      </c>
      <c r="D15" s="77">
        <v>36</v>
      </c>
      <c r="E15" s="77">
        <v>3723</v>
      </c>
      <c r="F15" s="77">
        <v>6.0100000000000001E-2</v>
      </c>
      <c r="G15" s="77">
        <v>765</v>
      </c>
      <c r="H15" s="77">
        <v>630</v>
      </c>
      <c r="I15" s="77">
        <v>43.1</v>
      </c>
      <c r="J15" s="77">
        <v>1.256</v>
      </c>
      <c r="K15" s="77">
        <v>7.56</v>
      </c>
    </row>
    <row r="16" spans="1:11" x14ac:dyDescent="0.15">
      <c r="A16" s="50" t="s">
        <v>229</v>
      </c>
      <c r="B16" s="77">
        <v>3.4</v>
      </c>
      <c r="C16" s="77">
        <v>2.2999999999999998</v>
      </c>
      <c r="D16" s="77">
        <v>40</v>
      </c>
      <c r="E16" s="77">
        <v>4728</v>
      </c>
      <c r="F16" s="77">
        <v>4.7E-2</v>
      </c>
      <c r="G16" s="77">
        <v>890</v>
      </c>
      <c r="H16" s="77">
        <v>725</v>
      </c>
      <c r="I16" s="77">
        <v>57.4</v>
      </c>
      <c r="J16" s="77">
        <v>1.2450000000000001</v>
      </c>
      <c r="K16" s="77">
        <v>7.5529999999999999</v>
      </c>
    </row>
    <row r="17" spans="1:11" x14ac:dyDescent="0.15">
      <c r="A17" s="55" t="s">
        <v>358</v>
      </c>
      <c r="B17" s="56"/>
      <c r="C17" s="56"/>
      <c r="D17" s="56"/>
      <c r="E17" s="56"/>
      <c r="F17" s="56"/>
      <c r="G17" s="56"/>
      <c r="H17" s="56"/>
      <c r="I17" s="56"/>
      <c r="J17" s="56"/>
      <c r="K17" s="57"/>
    </row>
    <row r="18" spans="1:11" x14ac:dyDescent="0.15">
      <c r="A18" s="58" t="s">
        <v>197</v>
      </c>
      <c r="B18" s="58" t="s">
        <v>198</v>
      </c>
      <c r="C18" s="58" t="s">
        <v>199</v>
      </c>
      <c r="D18" s="58" t="s">
        <v>200</v>
      </c>
      <c r="E18" s="58" t="s">
        <v>201</v>
      </c>
      <c r="F18" s="65" t="s">
        <v>202</v>
      </c>
      <c r="G18" s="58" t="s">
        <v>203</v>
      </c>
      <c r="H18" s="62"/>
      <c r="I18" s="58" t="s">
        <v>204</v>
      </c>
      <c r="J18" s="62"/>
      <c r="K18" s="62"/>
    </row>
    <row r="19" spans="1:11" x14ac:dyDescent="0.15">
      <c r="A19" s="62"/>
      <c r="B19" s="62"/>
      <c r="C19" s="62"/>
      <c r="D19" s="62"/>
      <c r="E19" s="62"/>
      <c r="F19" s="65" t="s">
        <v>205</v>
      </c>
      <c r="G19" s="58" t="s">
        <v>206</v>
      </c>
      <c r="H19" s="58" t="s">
        <v>207</v>
      </c>
      <c r="I19" s="58" t="s">
        <v>208</v>
      </c>
      <c r="J19" s="58" t="s">
        <v>209</v>
      </c>
      <c r="K19" s="62"/>
    </row>
    <row r="20" spans="1:11" x14ac:dyDescent="0.15">
      <c r="A20" s="62"/>
      <c r="B20" s="62"/>
      <c r="C20" s="62"/>
      <c r="D20" s="62"/>
      <c r="E20" s="62"/>
      <c r="F20" s="65" t="s">
        <v>210</v>
      </c>
      <c r="G20" s="62"/>
      <c r="H20" s="62"/>
      <c r="I20" s="62"/>
      <c r="J20" s="65" t="s">
        <v>211</v>
      </c>
      <c r="K20" s="65" t="s">
        <v>212</v>
      </c>
    </row>
    <row r="21" spans="1:11" x14ac:dyDescent="0.15">
      <c r="A21" s="65" t="s">
        <v>213</v>
      </c>
      <c r="B21" s="65" t="s">
        <v>214</v>
      </c>
      <c r="C21" s="65" t="s">
        <v>214</v>
      </c>
      <c r="D21" s="65" t="s">
        <v>214</v>
      </c>
      <c r="E21" s="65" t="s">
        <v>215</v>
      </c>
      <c r="F21" s="65" t="s">
        <v>216</v>
      </c>
      <c r="G21" s="65" t="s">
        <v>217</v>
      </c>
      <c r="H21" s="65" t="s">
        <v>217</v>
      </c>
      <c r="I21" s="65" t="s">
        <v>218</v>
      </c>
      <c r="J21" s="65" t="s">
        <v>218</v>
      </c>
      <c r="K21" s="65" t="s">
        <v>218</v>
      </c>
    </row>
    <row r="22" spans="1:11" x14ac:dyDescent="0.15">
      <c r="A22" s="50" t="s">
        <v>230</v>
      </c>
      <c r="B22" s="77">
        <v>3.4</v>
      </c>
      <c r="C22" s="77">
        <v>2.2999999999999998</v>
      </c>
      <c r="D22" s="77">
        <v>43</v>
      </c>
      <c r="E22" s="77">
        <v>2132</v>
      </c>
      <c r="F22" s="77">
        <v>0.72699999999999998</v>
      </c>
      <c r="G22" s="77">
        <v>120</v>
      </c>
      <c r="H22" s="77">
        <v>125</v>
      </c>
      <c r="I22" s="77">
        <v>3.69</v>
      </c>
      <c r="J22" s="77">
        <v>2.9580000000000002</v>
      </c>
      <c r="K22" s="50" t="s">
        <v>231</v>
      </c>
    </row>
    <row r="23" spans="1:11" x14ac:dyDescent="0.15">
      <c r="A23" s="50" t="s">
        <v>232</v>
      </c>
      <c r="B23" s="77">
        <v>3.4</v>
      </c>
      <c r="C23" s="77">
        <v>2.2999999999999998</v>
      </c>
      <c r="D23" s="77">
        <v>45</v>
      </c>
      <c r="E23" s="77">
        <v>2491</v>
      </c>
      <c r="F23" s="77">
        <v>0.52400000000000002</v>
      </c>
      <c r="G23" s="77">
        <v>140</v>
      </c>
      <c r="H23" s="77">
        <v>155</v>
      </c>
      <c r="I23" s="77">
        <v>5.15</v>
      </c>
      <c r="J23" s="77">
        <v>2.9580000000000002</v>
      </c>
      <c r="K23" s="50" t="s">
        <v>231</v>
      </c>
    </row>
    <row r="24" spans="1:11" x14ac:dyDescent="0.15">
      <c r="A24" s="50" t="s">
        <v>233</v>
      </c>
      <c r="B24" s="77">
        <v>3.4</v>
      </c>
      <c r="C24" s="77">
        <v>2.4</v>
      </c>
      <c r="D24" s="77">
        <v>48</v>
      </c>
      <c r="E24" s="77">
        <v>3091</v>
      </c>
      <c r="F24" s="77">
        <v>0.38700000000000001</v>
      </c>
      <c r="G24" s="77">
        <v>165</v>
      </c>
      <c r="H24" s="77">
        <v>180</v>
      </c>
      <c r="I24" s="77">
        <v>7.31</v>
      </c>
      <c r="J24" s="77">
        <v>2.9580000000000002</v>
      </c>
      <c r="K24" s="50" t="s">
        <v>231</v>
      </c>
    </row>
    <row r="25" spans="1:11" x14ac:dyDescent="0.15">
      <c r="A25" s="50" t="s">
        <v>234</v>
      </c>
      <c r="B25" s="77">
        <v>3.4</v>
      </c>
      <c r="C25" s="77">
        <v>2.6</v>
      </c>
      <c r="D25" s="77">
        <v>52</v>
      </c>
      <c r="E25" s="77">
        <v>3884</v>
      </c>
      <c r="F25" s="77">
        <v>0.26800000000000002</v>
      </c>
      <c r="G25" s="77">
        <v>210</v>
      </c>
      <c r="H25" s="77">
        <v>220</v>
      </c>
      <c r="I25" s="77">
        <v>10.199999999999999</v>
      </c>
      <c r="J25" s="77">
        <v>2.9580000000000002</v>
      </c>
      <c r="K25" s="50" t="s">
        <v>231</v>
      </c>
    </row>
    <row r="26" spans="1:11" x14ac:dyDescent="0.15">
      <c r="A26" s="50" t="s">
        <v>235</v>
      </c>
      <c r="B26" s="77">
        <v>3.4</v>
      </c>
      <c r="C26" s="77">
        <v>2.7</v>
      </c>
      <c r="D26" s="77">
        <v>56</v>
      </c>
      <c r="E26" s="77">
        <v>4778</v>
      </c>
      <c r="F26" s="77">
        <v>0.193</v>
      </c>
      <c r="G26" s="77">
        <v>355</v>
      </c>
      <c r="H26" s="77">
        <v>265</v>
      </c>
      <c r="I26" s="77">
        <v>13.8</v>
      </c>
      <c r="J26" s="77">
        <v>2.9580000000000002</v>
      </c>
      <c r="K26" s="50" t="s">
        <v>231</v>
      </c>
    </row>
    <row r="27" spans="1:11" x14ac:dyDescent="0.15">
      <c r="A27" s="50" t="s">
        <v>236</v>
      </c>
      <c r="B27" s="77">
        <v>3.4</v>
      </c>
      <c r="C27" s="77">
        <v>2.8</v>
      </c>
      <c r="D27" s="77">
        <v>59</v>
      </c>
      <c r="E27" s="77">
        <v>5595</v>
      </c>
      <c r="F27" s="77">
        <v>0.153</v>
      </c>
      <c r="G27" s="77">
        <v>290</v>
      </c>
      <c r="H27" s="77">
        <v>300</v>
      </c>
      <c r="I27" s="77">
        <v>17.399999999999999</v>
      </c>
      <c r="J27" s="77">
        <v>2.9580000000000002</v>
      </c>
      <c r="K27" s="50" t="s">
        <v>231</v>
      </c>
    </row>
    <row r="28" spans="1:11" x14ac:dyDescent="0.15">
      <c r="A28" s="50" t="s">
        <v>237</v>
      </c>
      <c r="B28" s="77">
        <v>3.4</v>
      </c>
      <c r="C28" s="77">
        <v>2.9</v>
      </c>
      <c r="D28" s="77">
        <v>63</v>
      </c>
      <c r="E28" s="77">
        <v>6732</v>
      </c>
      <c r="F28" s="77">
        <v>0.124</v>
      </c>
      <c r="G28" s="77">
        <v>330</v>
      </c>
      <c r="H28" s="77">
        <v>340</v>
      </c>
      <c r="I28" s="77">
        <v>21.7</v>
      </c>
      <c r="J28" s="77">
        <v>2.9580000000000002</v>
      </c>
      <c r="K28" s="50" t="s">
        <v>231</v>
      </c>
    </row>
    <row r="29" spans="1:11" x14ac:dyDescent="0.15">
      <c r="A29" s="50" t="s">
        <v>238</v>
      </c>
      <c r="B29" s="77">
        <v>3.4</v>
      </c>
      <c r="C29" s="77">
        <v>3</v>
      </c>
      <c r="D29" s="77">
        <v>66</v>
      </c>
      <c r="E29" s="77">
        <v>7954</v>
      </c>
      <c r="F29" s="77">
        <v>9.9099999999999994E-2</v>
      </c>
      <c r="G29" s="77">
        <v>375</v>
      </c>
      <c r="H29" s="77">
        <v>380</v>
      </c>
      <c r="I29" s="77">
        <v>26.7</v>
      </c>
      <c r="J29" s="77">
        <v>2.9580000000000002</v>
      </c>
      <c r="K29" s="50" t="s">
        <v>231</v>
      </c>
    </row>
    <row r="30" spans="1:11" x14ac:dyDescent="0.15">
      <c r="A30" s="50" t="s">
        <v>239</v>
      </c>
      <c r="B30" s="77">
        <v>3.4</v>
      </c>
      <c r="C30" s="77">
        <v>3.2</v>
      </c>
      <c r="D30" s="77">
        <v>72</v>
      </c>
      <c r="E30" s="77">
        <v>7929</v>
      </c>
      <c r="F30" s="77">
        <v>7.5399999999999995E-2</v>
      </c>
      <c r="G30" s="77">
        <v>435</v>
      </c>
      <c r="H30" s="77">
        <v>435</v>
      </c>
      <c r="I30" s="77">
        <v>34.6</v>
      </c>
      <c r="J30" s="77">
        <v>3.3010000000000002</v>
      </c>
      <c r="K30" s="50" t="s">
        <v>231</v>
      </c>
    </row>
    <row r="31" spans="1:11" x14ac:dyDescent="0.15">
      <c r="A31" s="50" t="s">
        <v>240</v>
      </c>
      <c r="B31" s="77">
        <v>3.4</v>
      </c>
      <c r="C31" s="77">
        <v>3.3</v>
      </c>
      <c r="D31" s="77">
        <v>77</v>
      </c>
      <c r="E31" s="77">
        <v>11855</v>
      </c>
      <c r="F31" s="77">
        <v>6.0100000000000001E-2</v>
      </c>
      <c r="G31" s="77">
        <v>495</v>
      </c>
      <c r="H31" s="77">
        <v>485</v>
      </c>
      <c r="I31" s="77">
        <v>43.1</v>
      </c>
      <c r="J31" s="77">
        <v>3.3010000000000002</v>
      </c>
      <c r="K31" s="50" t="s">
        <v>231</v>
      </c>
    </row>
  </sheetData>
  <mergeCells count="24">
    <mergeCell ref="G19:G20"/>
    <mergeCell ref="H19:H20"/>
    <mergeCell ref="I19:I20"/>
    <mergeCell ref="J19:K19"/>
    <mergeCell ref="I3:I4"/>
    <mergeCell ref="J3:K3"/>
    <mergeCell ref="A17:K17"/>
    <mergeCell ref="A18:A20"/>
    <mergeCell ref="B18:B20"/>
    <mergeCell ref="C18:C20"/>
    <mergeCell ref="D18:D20"/>
    <mergeCell ref="E18:E20"/>
    <mergeCell ref="G18:H18"/>
    <mergeCell ref="I18:K18"/>
    <mergeCell ref="A1:K1"/>
    <mergeCell ref="A2:A4"/>
    <mergeCell ref="B2:B4"/>
    <mergeCell ref="C2:C4"/>
    <mergeCell ref="D2:D4"/>
    <mergeCell ref="E2:E4"/>
    <mergeCell ref="G2:H2"/>
    <mergeCell ref="I2:K2"/>
    <mergeCell ref="G3:G4"/>
    <mergeCell ref="H3:H4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64BD-FC15-45F4-B7F0-A0D41B58DFE9}">
  <sheetPr codeName="Sheet6"/>
  <dimension ref="A1:K31"/>
  <sheetViews>
    <sheetView tabSelected="1" workbookViewId="0">
      <selection activeCell="O20" sqref="O20"/>
    </sheetView>
  </sheetViews>
  <sheetFormatPr defaultRowHeight="12" x14ac:dyDescent="0.15"/>
  <cols>
    <col min="1" max="16384" width="8.88671875" style="76"/>
  </cols>
  <sheetData>
    <row r="1" spans="1:11" x14ac:dyDescent="0.15">
      <c r="A1" s="78" t="s">
        <v>359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1" x14ac:dyDescent="0.15">
      <c r="A2" s="58" t="s">
        <v>197</v>
      </c>
      <c r="B2" s="58" t="s">
        <v>198</v>
      </c>
      <c r="C2" s="58" t="s">
        <v>199</v>
      </c>
      <c r="D2" s="58" t="s">
        <v>200</v>
      </c>
      <c r="E2" s="58" t="s">
        <v>201</v>
      </c>
      <c r="F2" s="65" t="s">
        <v>202</v>
      </c>
      <c r="G2" s="58" t="s">
        <v>203</v>
      </c>
      <c r="H2" s="62"/>
      <c r="I2" s="58" t="s">
        <v>204</v>
      </c>
      <c r="J2" s="62"/>
      <c r="K2" s="62"/>
    </row>
    <row r="3" spans="1:11" x14ac:dyDescent="0.15">
      <c r="A3" s="62"/>
      <c r="B3" s="62"/>
      <c r="C3" s="62"/>
      <c r="D3" s="62"/>
      <c r="E3" s="62"/>
      <c r="F3" s="65" t="s">
        <v>205</v>
      </c>
      <c r="G3" s="58" t="s">
        <v>206</v>
      </c>
      <c r="H3" s="58" t="s">
        <v>207</v>
      </c>
      <c r="I3" s="58" t="s">
        <v>208</v>
      </c>
      <c r="J3" s="58" t="s">
        <v>209</v>
      </c>
      <c r="K3" s="62"/>
    </row>
    <row r="4" spans="1:11" x14ac:dyDescent="0.15">
      <c r="A4" s="62"/>
      <c r="B4" s="62"/>
      <c r="C4" s="62"/>
      <c r="D4" s="62"/>
      <c r="E4" s="62"/>
      <c r="F4" s="65" t="s">
        <v>210</v>
      </c>
      <c r="G4" s="62"/>
      <c r="H4" s="62"/>
      <c r="I4" s="62"/>
      <c r="J4" s="65" t="s">
        <v>211</v>
      </c>
      <c r="K4" s="65" t="s">
        <v>212</v>
      </c>
    </row>
    <row r="5" spans="1:11" x14ac:dyDescent="0.15">
      <c r="A5" s="65" t="s">
        <v>213</v>
      </c>
      <c r="B5" s="65" t="s">
        <v>214</v>
      </c>
      <c r="C5" s="65" t="s">
        <v>214</v>
      </c>
      <c r="D5" s="65" t="s">
        <v>214</v>
      </c>
      <c r="E5" s="65" t="s">
        <v>215</v>
      </c>
      <c r="F5" s="65" t="s">
        <v>216</v>
      </c>
      <c r="G5" s="65" t="s">
        <v>217</v>
      </c>
      <c r="H5" s="65" t="s">
        <v>217</v>
      </c>
      <c r="I5" s="65" t="s">
        <v>218</v>
      </c>
      <c r="J5" s="65" t="s">
        <v>218</v>
      </c>
      <c r="K5" s="65" t="s">
        <v>218</v>
      </c>
    </row>
    <row r="6" spans="1:11" x14ac:dyDescent="0.15">
      <c r="A6" s="67" t="s">
        <v>219</v>
      </c>
      <c r="B6" s="67">
        <v>3.4</v>
      </c>
      <c r="C6" s="67">
        <v>1.8</v>
      </c>
      <c r="D6" s="67">
        <v>21</v>
      </c>
      <c r="E6" s="67">
        <v>685</v>
      </c>
      <c r="F6" s="67">
        <v>0.72699999999999998</v>
      </c>
      <c r="G6" s="67">
        <v>165</v>
      </c>
      <c r="H6" s="67">
        <v>160</v>
      </c>
      <c r="I6" s="67">
        <v>3.69</v>
      </c>
      <c r="J6" s="67">
        <v>1.083</v>
      </c>
      <c r="K6" s="67">
        <v>3.5059999999999998</v>
      </c>
    </row>
    <row r="7" spans="1:11" x14ac:dyDescent="0.15">
      <c r="A7" s="67" t="s">
        <v>220</v>
      </c>
      <c r="B7" s="67">
        <v>3.4</v>
      </c>
      <c r="C7" s="67">
        <v>1.8</v>
      </c>
      <c r="D7" s="67">
        <v>22</v>
      </c>
      <c r="E7" s="67">
        <v>807</v>
      </c>
      <c r="F7" s="67">
        <v>0.52400000000000002</v>
      </c>
      <c r="G7" s="67">
        <v>205</v>
      </c>
      <c r="H7" s="67">
        <v>190</v>
      </c>
      <c r="I7" s="67">
        <v>5.15</v>
      </c>
      <c r="J7" s="67">
        <v>1.0820000000000001</v>
      </c>
      <c r="K7" s="67">
        <v>3.5009999999999999</v>
      </c>
    </row>
    <row r="8" spans="1:11" x14ac:dyDescent="0.15">
      <c r="A8" s="67" t="s">
        <v>221</v>
      </c>
      <c r="B8" s="67">
        <v>3.4</v>
      </c>
      <c r="C8" s="67">
        <v>1.8</v>
      </c>
      <c r="D8" s="67">
        <v>23</v>
      </c>
      <c r="E8" s="67">
        <v>977</v>
      </c>
      <c r="F8" s="67">
        <v>0.38700000000000001</v>
      </c>
      <c r="G8" s="67">
        <v>245</v>
      </c>
      <c r="H8" s="67">
        <v>225</v>
      </c>
      <c r="I8" s="67">
        <v>7.31</v>
      </c>
      <c r="J8" s="67">
        <v>1.079</v>
      </c>
      <c r="K8" s="67">
        <v>3.496</v>
      </c>
    </row>
    <row r="9" spans="1:11" x14ac:dyDescent="0.15">
      <c r="A9" s="50" t="s">
        <v>222</v>
      </c>
      <c r="B9" s="77">
        <v>3.4</v>
      </c>
      <c r="C9" s="77">
        <v>1.8</v>
      </c>
      <c r="D9" s="77">
        <v>25</v>
      </c>
      <c r="E9" s="77">
        <v>1207</v>
      </c>
      <c r="F9" s="77">
        <v>0.26800000000000002</v>
      </c>
      <c r="G9" s="77">
        <v>305</v>
      </c>
      <c r="H9" s="77">
        <v>275</v>
      </c>
      <c r="I9" s="77">
        <v>10.199999999999999</v>
      </c>
      <c r="J9" s="77">
        <v>1.077</v>
      </c>
      <c r="K9" s="77">
        <v>3.4910000000000001</v>
      </c>
    </row>
    <row r="10" spans="1:11" x14ac:dyDescent="0.15">
      <c r="A10" s="50" t="s">
        <v>223</v>
      </c>
      <c r="B10" s="77">
        <v>3.4</v>
      </c>
      <c r="C10" s="77">
        <v>1.8</v>
      </c>
      <c r="D10" s="77">
        <v>27</v>
      </c>
      <c r="E10" s="77">
        <v>1489</v>
      </c>
      <c r="F10" s="77">
        <v>0.193</v>
      </c>
      <c r="G10" s="77">
        <v>370</v>
      </c>
      <c r="H10" s="77">
        <v>330</v>
      </c>
      <c r="I10" s="77">
        <v>13.8</v>
      </c>
      <c r="J10" s="77">
        <v>1.077</v>
      </c>
      <c r="K10" s="77">
        <v>5.4489999999999998</v>
      </c>
    </row>
    <row r="11" spans="1:11" x14ac:dyDescent="0.15">
      <c r="A11" s="50" t="s">
        <v>224</v>
      </c>
      <c r="B11" s="77">
        <v>3.4</v>
      </c>
      <c r="C11" s="77">
        <v>1.8</v>
      </c>
      <c r="D11" s="77">
        <v>28</v>
      </c>
      <c r="E11" s="77">
        <v>1762</v>
      </c>
      <c r="F11" s="77">
        <v>0.153</v>
      </c>
      <c r="G11" s="77">
        <v>430</v>
      </c>
      <c r="H11" s="77">
        <v>375</v>
      </c>
      <c r="I11" s="77">
        <v>17.399999999999999</v>
      </c>
      <c r="J11" s="77">
        <v>1.077</v>
      </c>
      <c r="K11" s="77">
        <v>5.4489999999999998</v>
      </c>
    </row>
    <row r="12" spans="1:11" x14ac:dyDescent="0.15">
      <c r="A12" s="50" t="s">
        <v>225</v>
      </c>
      <c r="B12" s="77">
        <v>3.4</v>
      </c>
      <c r="C12" s="77">
        <v>1.9</v>
      </c>
      <c r="D12" s="77">
        <v>30</v>
      </c>
      <c r="E12" s="77">
        <v>2080</v>
      </c>
      <c r="F12" s="77">
        <v>0.124</v>
      </c>
      <c r="G12" s="77">
        <v>490</v>
      </c>
      <c r="H12" s="77">
        <v>426</v>
      </c>
      <c r="I12" s="77">
        <v>21.7</v>
      </c>
      <c r="J12" s="77">
        <v>1.0760000000000001</v>
      </c>
      <c r="K12" s="77">
        <v>5.44</v>
      </c>
    </row>
    <row r="13" spans="1:11" x14ac:dyDescent="0.15">
      <c r="A13" s="50" t="s">
        <v>226</v>
      </c>
      <c r="B13" s="77">
        <v>3.4</v>
      </c>
      <c r="C13" s="77">
        <v>2</v>
      </c>
      <c r="D13" s="77">
        <v>32</v>
      </c>
      <c r="E13" s="77">
        <v>2453</v>
      </c>
      <c r="F13" s="77">
        <v>9.9099999999999994E-2</v>
      </c>
      <c r="G13" s="77">
        <v>560</v>
      </c>
      <c r="H13" s="77">
        <v>480</v>
      </c>
      <c r="I13" s="77">
        <v>26.7</v>
      </c>
      <c r="J13" s="77">
        <v>1.2509999999999999</v>
      </c>
      <c r="K13" s="77">
        <v>7.59</v>
      </c>
    </row>
    <row r="14" spans="1:11" x14ac:dyDescent="0.15">
      <c r="A14" s="50" t="s">
        <v>227</v>
      </c>
      <c r="B14" s="77">
        <v>3.4</v>
      </c>
      <c r="C14" s="77">
        <v>2.1</v>
      </c>
      <c r="D14" s="77">
        <v>34</v>
      </c>
      <c r="E14" s="77">
        <v>3100</v>
      </c>
      <c r="F14" s="77">
        <v>7.5399999999999995E-2</v>
      </c>
      <c r="G14" s="77">
        <v>665</v>
      </c>
      <c r="H14" s="77">
        <v>555</v>
      </c>
      <c r="I14" s="77">
        <v>34.6</v>
      </c>
      <c r="J14" s="77">
        <v>1.25</v>
      </c>
      <c r="K14" s="77">
        <v>7.5830000000000002</v>
      </c>
    </row>
    <row r="15" spans="1:11" x14ac:dyDescent="0.15">
      <c r="A15" s="50" t="s">
        <v>228</v>
      </c>
      <c r="B15" s="77">
        <v>3.4</v>
      </c>
      <c r="C15" s="77">
        <v>2.2000000000000002</v>
      </c>
      <c r="D15" s="77">
        <v>36</v>
      </c>
      <c r="E15" s="77">
        <v>3723</v>
      </c>
      <c r="F15" s="77">
        <v>6.0100000000000001E-2</v>
      </c>
      <c r="G15" s="77">
        <v>765</v>
      </c>
      <c r="H15" s="77">
        <v>630</v>
      </c>
      <c r="I15" s="77">
        <v>43.1</v>
      </c>
      <c r="J15" s="77">
        <v>1.256</v>
      </c>
      <c r="K15" s="77">
        <v>7.56</v>
      </c>
    </row>
    <row r="16" spans="1:11" x14ac:dyDescent="0.15">
      <c r="A16" s="50" t="s">
        <v>229</v>
      </c>
      <c r="B16" s="77">
        <v>3.4</v>
      </c>
      <c r="C16" s="77">
        <v>2.2999999999999998</v>
      </c>
      <c r="D16" s="77">
        <v>40</v>
      </c>
      <c r="E16" s="77">
        <v>4728</v>
      </c>
      <c r="F16" s="77">
        <v>4.7E-2</v>
      </c>
      <c r="G16" s="77">
        <v>890</v>
      </c>
      <c r="H16" s="77">
        <v>725</v>
      </c>
      <c r="I16" s="77">
        <v>57.4</v>
      </c>
      <c r="J16" s="77">
        <v>1.2450000000000001</v>
      </c>
      <c r="K16" s="77">
        <v>7.5529999999999999</v>
      </c>
    </row>
    <row r="17" spans="1:11" x14ac:dyDescent="0.15">
      <c r="A17" s="78" t="s">
        <v>360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</row>
    <row r="18" spans="1:11" x14ac:dyDescent="0.15">
      <c r="A18" s="58" t="s">
        <v>197</v>
      </c>
      <c r="B18" s="58" t="s">
        <v>198</v>
      </c>
      <c r="C18" s="58" t="s">
        <v>199</v>
      </c>
      <c r="D18" s="58" t="s">
        <v>200</v>
      </c>
      <c r="E18" s="58" t="s">
        <v>201</v>
      </c>
      <c r="F18" s="65" t="s">
        <v>202</v>
      </c>
      <c r="G18" s="58" t="s">
        <v>203</v>
      </c>
      <c r="H18" s="62"/>
      <c r="I18" s="58" t="s">
        <v>204</v>
      </c>
      <c r="J18" s="62"/>
      <c r="K18" s="62"/>
    </row>
    <row r="19" spans="1:11" x14ac:dyDescent="0.15">
      <c r="A19" s="62"/>
      <c r="B19" s="62"/>
      <c r="C19" s="62"/>
      <c r="D19" s="62"/>
      <c r="E19" s="62"/>
      <c r="F19" s="65" t="s">
        <v>205</v>
      </c>
      <c r="G19" s="58" t="s">
        <v>206</v>
      </c>
      <c r="H19" s="58" t="s">
        <v>207</v>
      </c>
      <c r="I19" s="58" t="s">
        <v>208</v>
      </c>
      <c r="J19" s="58" t="s">
        <v>209</v>
      </c>
      <c r="K19" s="62"/>
    </row>
    <row r="20" spans="1:11" x14ac:dyDescent="0.15">
      <c r="A20" s="62"/>
      <c r="B20" s="62"/>
      <c r="C20" s="62"/>
      <c r="D20" s="62"/>
      <c r="E20" s="62"/>
      <c r="F20" s="65" t="s">
        <v>210</v>
      </c>
      <c r="G20" s="62"/>
      <c r="H20" s="62"/>
      <c r="I20" s="62"/>
      <c r="J20" s="65" t="s">
        <v>211</v>
      </c>
      <c r="K20" s="65" t="s">
        <v>212</v>
      </c>
    </row>
    <row r="21" spans="1:11" x14ac:dyDescent="0.15">
      <c r="A21" s="65" t="s">
        <v>213</v>
      </c>
      <c r="B21" s="65" t="s">
        <v>214</v>
      </c>
      <c r="C21" s="65" t="s">
        <v>214</v>
      </c>
      <c r="D21" s="65" t="s">
        <v>214</v>
      </c>
      <c r="E21" s="65" t="s">
        <v>215</v>
      </c>
      <c r="F21" s="65" t="s">
        <v>216</v>
      </c>
      <c r="G21" s="65" t="s">
        <v>217</v>
      </c>
      <c r="H21" s="65" t="s">
        <v>217</v>
      </c>
      <c r="I21" s="65" t="s">
        <v>218</v>
      </c>
      <c r="J21" s="65" t="s">
        <v>218</v>
      </c>
      <c r="K21" s="65" t="s">
        <v>218</v>
      </c>
    </row>
    <row r="22" spans="1:11" x14ac:dyDescent="0.15">
      <c r="A22" s="67" t="s">
        <v>230</v>
      </c>
      <c r="B22" s="67">
        <v>3.4</v>
      </c>
      <c r="C22" s="67">
        <v>2.4</v>
      </c>
      <c r="D22" s="67">
        <v>48</v>
      </c>
      <c r="E22" s="67">
        <v>3190</v>
      </c>
      <c r="F22" s="67">
        <v>0.72699999999999998</v>
      </c>
      <c r="G22" s="67">
        <v>120</v>
      </c>
      <c r="H22" s="67">
        <v>125</v>
      </c>
      <c r="I22" s="67">
        <v>3.69</v>
      </c>
      <c r="J22" s="67">
        <v>2.9580000000000002</v>
      </c>
      <c r="K22" s="67" t="s">
        <v>231</v>
      </c>
    </row>
    <row r="23" spans="1:11" x14ac:dyDescent="0.15">
      <c r="A23" s="67" t="s">
        <v>232</v>
      </c>
      <c r="B23" s="67">
        <v>3.4</v>
      </c>
      <c r="C23" s="67">
        <v>2.5</v>
      </c>
      <c r="D23" s="67">
        <v>50</v>
      </c>
      <c r="E23" s="67">
        <v>3731</v>
      </c>
      <c r="F23" s="67">
        <v>0.52400000000000002</v>
      </c>
      <c r="G23" s="67">
        <v>140</v>
      </c>
      <c r="H23" s="67">
        <v>155</v>
      </c>
      <c r="I23" s="67">
        <v>5.15</v>
      </c>
      <c r="J23" s="67">
        <v>2.9580000000000002</v>
      </c>
      <c r="K23" s="67" t="s">
        <v>231</v>
      </c>
    </row>
    <row r="24" spans="1:11" x14ac:dyDescent="0.15">
      <c r="A24" s="67" t="s">
        <v>233</v>
      </c>
      <c r="B24" s="67">
        <v>3.4</v>
      </c>
      <c r="C24" s="67">
        <v>2.6</v>
      </c>
      <c r="D24" s="67">
        <v>53</v>
      </c>
      <c r="E24" s="67">
        <v>4396</v>
      </c>
      <c r="F24" s="67">
        <v>0.38700000000000001</v>
      </c>
      <c r="G24" s="67">
        <v>165</v>
      </c>
      <c r="H24" s="67">
        <v>180</v>
      </c>
      <c r="I24" s="67">
        <v>7.31</v>
      </c>
      <c r="J24" s="67">
        <v>2.9580000000000002</v>
      </c>
      <c r="K24" s="67" t="s">
        <v>231</v>
      </c>
    </row>
    <row r="25" spans="1:11" x14ac:dyDescent="0.15">
      <c r="A25" s="67" t="s">
        <v>234</v>
      </c>
      <c r="B25" s="67">
        <v>3.4</v>
      </c>
      <c r="C25" s="67">
        <v>2.7</v>
      </c>
      <c r="D25" s="67">
        <v>57</v>
      </c>
      <c r="E25" s="67">
        <v>5198</v>
      </c>
      <c r="F25" s="67">
        <v>0.26800000000000002</v>
      </c>
      <c r="G25" s="67">
        <v>210</v>
      </c>
      <c r="H25" s="67">
        <v>220</v>
      </c>
      <c r="I25" s="67">
        <v>10.199999999999999</v>
      </c>
      <c r="J25" s="67">
        <v>2.9580000000000002</v>
      </c>
      <c r="K25" s="67" t="s">
        <v>231</v>
      </c>
    </row>
    <row r="26" spans="1:11" x14ac:dyDescent="0.15">
      <c r="A26" s="67" t="s">
        <v>235</v>
      </c>
      <c r="B26" s="67">
        <v>3.4</v>
      </c>
      <c r="C26" s="67">
        <v>2.9</v>
      </c>
      <c r="D26" s="67">
        <v>62</v>
      </c>
      <c r="E26" s="67">
        <v>6350</v>
      </c>
      <c r="F26" s="67">
        <v>0.193</v>
      </c>
      <c r="G26" s="67">
        <v>355</v>
      </c>
      <c r="H26" s="67">
        <v>265</v>
      </c>
      <c r="I26" s="67">
        <v>13.8</v>
      </c>
      <c r="J26" s="67">
        <v>2.9580000000000002</v>
      </c>
      <c r="K26" s="67" t="s">
        <v>231</v>
      </c>
    </row>
    <row r="27" spans="1:11" x14ac:dyDescent="0.15">
      <c r="A27" s="67" t="s">
        <v>236</v>
      </c>
      <c r="B27" s="67">
        <v>3.4</v>
      </c>
      <c r="C27" s="67">
        <v>3</v>
      </c>
      <c r="D27" s="67">
        <v>65</v>
      </c>
      <c r="E27" s="67">
        <v>7257</v>
      </c>
      <c r="F27" s="67">
        <v>0.153</v>
      </c>
      <c r="G27" s="67">
        <v>290</v>
      </c>
      <c r="H27" s="67">
        <v>300</v>
      </c>
      <c r="I27" s="67">
        <v>17.399999999999999</v>
      </c>
      <c r="J27" s="67">
        <v>2.9580000000000002</v>
      </c>
      <c r="K27" s="67" t="s">
        <v>231</v>
      </c>
    </row>
    <row r="28" spans="1:11" x14ac:dyDescent="0.15">
      <c r="A28" s="67" t="s">
        <v>237</v>
      </c>
      <c r="B28" s="67">
        <v>3.4</v>
      </c>
      <c r="C28" s="67">
        <v>3.1</v>
      </c>
      <c r="D28" s="67">
        <v>69</v>
      </c>
      <c r="E28" s="67">
        <v>8383</v>
      </c>
      <c r="F28" s="67">
        <v>0.124</v>
      </c>
      <c r="G28" s="67">
        <v>330</v>
      </c>
      <c r="H28" s="67">
        <v>340</v>
      </c>
      <c r="I28" s="67">
        <v>21.7</v>
      </c>
      <c r="J28" s="67">
        <v>2.9580000000000002</v>
      </c>
      <c r="K28" s="67" t="s">
        <v>231</v>
      </c>
    </row>
    <row r="29" spans="1:11" x14ac:dyDescent="0.15">
      <c r="A29" s="67" t="s">
        <v>238</v>
      </c>
      <c r="B29" s="67">
        <v>3.4</v>
      </c>
      <c r="C29" s="67">
        <v>3.2</v>
      </c>
      <c r="D29" s="67">
        <v>72</v>
      </c>
      <c r="E29" s="67">
        <v>9741</v>
      </c>
      <c r="F29" s="67">
        <v>9.9099999999999994E-2</v>
      </c>
      <c r="G29" s="67">
        <v>375</v>
      </c>
      <c r="H29" s="67">
        <v>380</v>
      </c>
      <c r="I29" s="67">
        <v>26.7</v>
      </c>
      <c r="J29" s="67">
        <v>2.9580000000000002</v>
      </c>
      <c r="K29" s="67" t="s">
        <v>231</v>
      </c>
    </row>
    <row r="30" spans="1:11" x14ac:dyDescent="0.15">
      <c r="A30" s="67" t="s">
        <v>239</v>
      </c>
      <c r="B30" s="67">
        <v>3.4</v>
      </c>
      <c r="C30" s="67">
        <v>3.3</v>
      </c>
      <c r="D30" s="67">
        <v>78</v>
      </c>
      <c r="E30" s="67">
        <v>11854</v>
      </c>
      <c r="F30" s="67">
        <v>7.5399999999999995E-2</v>
      </c>
      <c r="G30" s="67">
        <v>435</v>
      </c>
      <c r="H30" s="67">
        <v>435</v>
      </c>
      <c r="I30" s="67">
        <v>34.6</v>
      </c>
      <c r="J30" s="67">
        <v>3.3010000000000002</v>
      </c>
      <c r="K30" s="67" t="s">
        <v>231</v>
      </c>
    </row>
    <row r="31" spans="1:11" x14ac:dyDescent="0.15">
      <c r="A31" s="67" t="s">
        <v>240</v>
      </c>
      <c r="B31" s="67">
        <v>3.4</v>
      </c>
      <c r="C31" s="67">
        <v>3.4</v>
      </c>
      <c r="D31" s="67">
        <v>84</v>
      </c>
      <c r="E31" s="67">
        <v>14861</v>
      </c>
      <c r="F31" s="67">
        <v>6.0100000000000001E-2</v>
      </c>
      <c r="G31" s="67">
        <v>495</v>
      </c>
      <c r="H31" s="67">
        <v>485</v>
      </c>
      <c r="I31" s="67">
        <v>43.1</v>
      </c>
      <c r="J31" s="67">
        <v>3.3010000000000002</v>
      </c>
      <c r="K31" s="67" t="s">
        <v>231</v>
      </c>
    </row>
  </sheetData>
  <mergeCells count="24">
    <mergeCell ref="G19:G20"/>
    <mergeCell ref="H19:H20"/>
    <mergeCell ref="I19:I20"/>
    <mergeCell ref="J19:K19"/>
    <mergeCell ref="I3:I4"/>
    <mergeCell ref="J3:K3"/>
    <mergeCell ref="A17:K17"/>
    <mergeCell ref="A18:A20"/>
    <mergeCell ref="B18:B20"/>
    <mergeCell ref="C18:C20"/>
    <mergeCell ref="D18:D20"/>
    <mergeCell ref="E18:E20"/>
    <mergeCell ref="G18:H18"/>
    <mergeCell ref="I18:K18"/>
    <mergeCell ref="A1:K1"/>
    <mergeCell ref="A2:A4"/>
    <mergeCell ref="B2:B4"/>
    <mergeCell ref="C2:C4"/>
    <mergeCell ref="D2:D4"/>
    <mergeCell ref="E2:E4"/>
    <mergeCell ref="G2:H2"/>
    <mergeCell ref="I2:K2"/>
    <mergeCell ref="G3:G4"/>
    <mergeCell ref="H3:H4"/>
  </mergeCells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1CD783-0D63-40D2-B0DB-7BDCE59DD6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离心风机系数</vt:lpstr>
      <vt:lpstr>常用Y系列电机型号参数表</vt:lpstr>
      <vt:lpstr>YJV</vt:lpstr>
      <vt:lpstr>YJV22</vt:lpstr>
      <vt:lpstr>YJV-6KV</vt:lpstr>
      <vt:lpstr>YJV22-6KV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零工</dc:creator>
  <cp:lastModifiedBy>技术部3</cp:lastModifiedBy>
  <dcterms:created xsi:type="dcterms:W3CDTF">2025-08-19T08:10:00Z</dcterms:created>
  <dcterms:modified xsi:type="dcterms:W3CDTF">2025-09-12T02:52:10Z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E95D919D4C3E44AA8FF6598C6B9FD442_11</vt:lpwstr>
  </property>
  <property fmtid="{D5CDD505-2E9C-101B-9397-08002B2CF9AE}" pid="3" name="KSOProductBuildVer">
    <vt:lpwstr>2052-12.1.0.21915</vt:lpwstr>
  </property>
</Properties>
</file>